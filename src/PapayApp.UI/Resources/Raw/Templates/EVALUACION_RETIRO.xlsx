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cargas\PAPAYAAP 0.7\"/>
    </mc:Choice>
  </mc:AlternateContent>
  <xr:revisionPtr revIDLastSave="0" documentId="13_ncr:1_{D26164EA-C11E-4962-98DD-F066F1CB1C25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-EVALUACION OCUPACIONAL 1-3" sheetId="1" r:id="rId1"/>
    <sheet name="EVALUACION OCUPACIONAL2-3" sheetId="2" r:id="rId2"/>
    <sheet name="EVALUACION OCUPACIONAL 3-3" sheetId="3" r:id="rId3"/>
    <sheet name="CERTIFICADO" sheetId="4" r:id="rId4"/>
  </sheets>
  <definedNames>
    <definedName name="Excel_BuiltIn_Print_Area" localSheetId="0">'-EVALUACION OCUPACIONAL 1-3'!$A$3:$BG$67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1" i="4" l="1"/>
  <c r="A17" i="4"/>
  <c r="AK16" i="4"/>
  <c r="AC16" i="4"/>
  <c r="S16" i="4"/>
  <c r="I16" i="4"/>
  <c r="AI11" i="4"/>
  <c r="AC11" i="4"/>
  <c r="U11" i="4"/>
  <c r="L11" i="4"/>
  <c r="P9" i="4"/>
  <c r="O9" i="4"/>
  <c r="N9" i="4"/>
  <c r="M9" i="4"/>
  <c r="K9" i="4"/>
  <c r="AG6" i="4"/>
  <c r="AD6" i="4"/>
  <c r="X6" i="4"/>
  <c r="Q6" i="4"/>
  <c r="J6" i="4"/>
  <c r="A6" i="4"/>
  <c r="AI4" i="4"/>
  <c r="AC4" i="4"/>
  <c r="V4" i="4"/>
  <c r="R4" i="4"/>
  <c r="L4" i="4"/>
  <c r="A4" i="4"/>
  <c r="A2" i="4"/>
</calcChain>
</file>

<file path=xl/sharedStrings.xml><?xml version="1.0" encoding="utf-8"?>
<sst xmlns="http://schemas.openxmlformats.org/spreadsheetml/2006/main" count="387" uniqueCount="333">
  <si>
    <t xml:space="preserve">             FORMULARIO DE EVALUACIÓN MÉDICA OCUPACIONAL</t>
  </si>
  <si>
    <t xml:space="preserve">A. DATOS DEL ESTABLECIMIENTO - DATOS DEL USUARIO                                                                                               TELEF: </t>
  </si>
  <si>
    <t xml:space="preserve"> INSTITUCIÓN DEL SISTEMA </t>
  </si>
  <si>
    <t>RUC</t>
  </si>
  <si>
    <t>CIIU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</si>
  <si>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ESTABLECIMIENTO /CENTRO DE TRABAJO</t>
    </r>
  </si>
  <si>
    <t>NUMERO DE HISTORIA CLINICA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</si>
  <si>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NÚMERO DE ARCHIVO</t>
    </r>
  </si>
  <si>
    <t xml:space="preserve">DEPARTAMENTO DE SALUD OCUPACIONAL </t>
  </si>
  <si>
    <t>PRIMER APELLIDO</t>
  </si>
  <si>
    <t xml:space="preserve"> SEGUNDO APELLIDO</t>
  </si>
  <si>
    <t xml:space="preserve"> PRIMER NOMBRE </t>
  </si>
  <si>
    <t xml:space="preserve"> SEGUNDO NOMBRE</t>
  </si>
  <si>
    <t>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</si>
  <si>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</si>
  <si>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</si>
  <si>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</si>
  <si>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</si>
  <si>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</si>
  <si>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</si>
  <si>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</si>
  <si>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E.Catastrófica</t>
  </si>
  <si>
    <t xml:space="preserve"> lactancia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</si>
  <si>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</si>
  <si>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</si>
  <si>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</si>
  <si>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</si>
  <si>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</si>
  <si>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</si>
  <si>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NO APLICA</t>
  </si>
  <si>
    <t>B. MOTIVO DE CONSULTA</t>
  </si>
  <si>
    <t xml:space="preserve"> Puesto de Trabajo CIUO</t>
  </si>
  <si>
    <t xml:space="preserve">AUXILIAR DE LIMPIEZA (9112) / 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</si>
  <si>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</si>
  <si>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</si>
  <si>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</si>
  <si>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</si>
  <si>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</si>
  <si>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>PERIÓDICO</t>
  </si>
  <si>
    <t>REINTEGRO</t>
  </si>
  <si>
    <t xml:space="preserve"> RETIRO</t>
  </si>
  <si>
    <t>Observación</t>
  </si>
  <si>
    <t>C. ANTECEDENTES PERSONALES</t>
  </si>
  <si>
    <t xml:space="preserve"> ANTECEDENTES CLÍNICOS Y QUIRÚRGICOS</t>
  </si>
  <si>
    <r>
      <rPr>
        <b/>
        <sz val="9"/>
        <color rgb="FF000000"/>
        <rFont val="Arial"/>
        <family val="2"/>
        <charset val="1"/>
      </rPr>
      <t xml:space="preserve">Descripción:  
</t>
    </r>
    <r>
      <rPr>
        <b/>
        <sz val="11"/>
        <color rgb="FF000000"/>
        <rFont val="Arial"/>
        <family val="2"/>
        <charset val="1"/>
      </rPr>
      <t xml:space="preserve">ANTECEDENTES QUIRURGICOS: NO REFIERE
ANTECEDENTES PATOLOGICOS PERSONALES: NO REFIERE
ALERGIAS MEDICAMENTOSA Y POR ALIMENTOS: NO REFIERE
</t>
    </r>
    <r>
      <rPr>
        <b/>
        <sz val="9"/>
        <color rgb="FF000000"/>
        <rFont val="Arial"/>
        <family val="2"/>
        <charset val="1"/>
      </rPr>
      <t xml:space="preserve">
</t>
    </r>
  </si>
  <si>
    <t xml:space="preserve"> ANTECEDENTES FAMILIARES</t>
  </si>
  <si>
    <r>
      <rPr>
        <b/>
        <sz val="9"/>
        <color rgb="FF000000"/>
        <rFont val="Arial"/>
        <family val="2"/>
        <charset val="1"/>
      </rPr>
      <t xml:space="preserve">Descripción: </t>
    </r>
    <r>
      <rPr>
        <sz val="11"/>
        <color rgb="FF000000"/>
        <rFont val="Arial"/>
        <family val="2"/>
        <charset val="1"/>
      </rPr>
      <t xml:space="preserve"> </t>
    </r>
  </si>
  <si>
    <t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</si>
  <si>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</si>
  <si>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</si>
  <si>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</si>
  <si>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</si>
  <si>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</si>
  <si>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>X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</si>
  <si>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</si>
  <si>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</si>
  <si>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</si>
  <si>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</si>
  <si>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</si>
  <si>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</si>
  <si>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</si>
  <si>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</si>
  <si>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</si>
  <si>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</si>
  <si>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 no responde</t>
  </si>
  <si>
    <t xml:space="preserve">NO APLICA </t>
  </si>
  <si>
    <t>EXÁMENES REALIZADOS ¿CUAL?</t>
  </si>
  <si>
    <r>
      <rPr>
        <sz val="9"/>
        <color rgb="FF000000"/>
        <rFont val="Arial"/>
        <family val="2"/>
        <charset val="1"/>
      </rPr>
      <t xml:space="preserve">TIEMPO
</t>
    </r>
    <r>
      <rPr>
        <sz val="6"/>
        <color rgb="FF000000"/>
        <rFont val="Arial"/>
        <family val="2"/>
        <charset val="1"/>
      </rPr>
      <t>(años)</t>
    </r>
  </si>
  <si>
    <t xml:space="preserve"> Registrar resultado únicamente si interfiere con la actividad laboral y previa autorización del titular</t>
  </si>
  <si>
    <t>ANTECEDENTES REPRODUCTIVOS MASCULINOS</t>
  </si>
  <si>
    <t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</si>
  <si>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</si>
  <si>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</si>
  <si>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NO REFIERE </t>
  </si>
  <si>
    <t xml:space="preserve">CONSUMO DE SUSTANCIAS </t>
  </si>
  <si>
    <t>ESTILO DE VIDA</t>
  </si>
  <si>
    <t>CONDICION PREEXISTENTE</t>
  </si>
  <si>
    <t>TIEMPO DE CONSUMO (meses)</t>
  </si>
  <si>
    <t xml:space="preserve"> EX CONSUMIDOR</t>
  </si>
  <si>
    <t>TIEMPO DE ABSTINENCIA
(meses)</t>
  </si>
  <si>
    <t xml:space="preserve"> NO CONSUME</t>
  </si>
  <si>
    <t>ACTIVIDAD FÍSICA</t>
  </si>
  <si>
    <t>¿CUAL?</t>
  </si>
  <si>
    <t>TIEMPO</t>
  </si>
  <si>
    <t>MEDICACIÓN HABITUAL</t>
  </si>
  <si>
    <t>¿ CUÁL?</t>
  </si>
  <si>
    <t>CANTIDAD</t>
  </si>
  <si>
    <t>TABACO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</si>
  <si>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</si>
  <si>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</si>
  <si>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</si>
  <si>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</si>
  <si>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</si>
  <si>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</si>
  <si>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</si>
  <si>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color rgb="FF000000"/>
        <rFont val="Arial"/>
        <family val="2"/>
        <charset val="1"/>
      </rPr>
      <t xml:space="preserve">FRECUENCIA CARDIACA </t>
    </r>
    <r>
      <rPr>
        <sz val="6"/>
        <color rgb="FF000000"/>
        <rFont val="Arial"/>
        <family val="2"/>
        <charset val="1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</si>
  <si>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</si>
  <si>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</si>
  <si>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</si>
  <si>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</si>
  <si>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</si>
  <si>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</si>
  <si>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</si>
  <si>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</si>
  <si>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</si>
  <si>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</si>
  <si>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</si>
  <si>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</si>
  <si>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</si>
  <si>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</si>
  <si>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</si>
  <si>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</si>
  <si>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</si>
  <si>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</si>
  <si>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</si>
  <si>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</si>
  <si>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</si>
  <si>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</si>
  <si>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c.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</si>
  <si>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</si>
  <si>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</si>
  <si>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</si>
  <si>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</si>
  <si>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</si>
  <si>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</si>
  <si>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</si>
  <si>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</si>
  <si>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</si>
  <si>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</si>
  <si>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</si>
  <si>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</si>
  <si>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</si>
  <si>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</si>
  <si>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</si>
  <si>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</si>
  <si>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</si>
  <si>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</si>
  <si>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</si>
  <si>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</si>
  <si>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</si>
  <si>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</si>
  <si>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</si>
  <si>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</si>
  <si>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</si>
  <si>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</si>
  <si>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</si>
  <si>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</si>
  <si>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</si>
  <si>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</si>
  <si>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</si>
  <si>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</si>
  <si>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c..Marcha</t>
  </si>
  <si>
    <t xml:space="preserve"> e. Motilidad</t>
  </si>
  <si>
    <t>e. Dentadura</t>
  </si>
  <si>
    <t>c. Dolor</t>
  </si>
  <si>
    <t>d. Reflejos</t>
  </si>
  <si>
    <t xml:space="preserve">Observación:  </t>
  </si>
  <si>
    <t xml:space="preserve">G. FACTORES DE RIESGO DEL TRABAJO ACTUAL                                                  </t>
  </si>
  <si>
    <t>PUESTO DE TRABAJO</t>
  </si>
  <si>
    <t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</si>
  <si>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</si>
  <si>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</si>
  <si>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</si>
  <si>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</si>
  <si>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</si>
  <si>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>Flexión, extensión y movimientos repetitivos de miembros superiores.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</si>
  <si>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</si>
  <si>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</si>
  <si>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</si>
  <si>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</si>
  <si>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</si>
  <si>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</si>
  <si>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</si>
  <si>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</si>
  <si>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</si>
  <si>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</si>
  <si>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</si>
  <si>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</si>
  <si>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</si>
  <si>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</si>
  <si>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</si>
  <si>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</si>
  <si>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</si>
  <si>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</si>
  <si>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</si>
  <si>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</si>
  <si>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</si>
  <si>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</si>
  <si>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</si>
  <si>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</si>
  <si>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</si>
  <si>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</si>
  <si>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</si>
  <si>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</si>
  <si>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</si>
  <si>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</si>
  <si>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</si>
  <si>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QUÌMICO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</si>
  <si>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</si>
  <si>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</si>
  <si>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</si>
  <si>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</si>
  <si>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</si>
  <si>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</si>
  <si>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</si>
  <si>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</si>
  <si>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</si>
  <si>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</si>
  <si>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</si>
  <si>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</si>
  <si>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</si>
  <si>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</si>
  <si>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</si>
  <si>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</si>
  <si>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</si>
  <si>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</si>
  <si>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</si>
  <si>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</si>
  <si>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</si>
  <si>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</si>
  <si>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</si>
  <si>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</si>
  <si>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</si>
  <si>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</si>
  <si>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</si>
  <si>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</si>
  <si>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</si>
  <si>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</si>
  <si>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</si>
  <si>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</si>
  <si>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</si>
  <si>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Relaciónes interpersonales </t>
  </si>
  <si>
    <t>inestabilidad laboral</t>
  </si>
  <si>
    <t>Amenaza Delincuencial</t>
  </si>
  <si>
    <t>MEDIDAS PREVENTIVAS</t>
  </si>
  <si>
    <r>
      <rPr>
        <b/>
        <sz val="11"/>
        <color rgb="FF000000"/>
        <rFont val="Calibri"/>
        <family val="2"/>
        <charset val="1"/>
      </rPr>
      <t xml:space="preserve">Medidas generales de seguridad
</t>
    </r>
    <r>
      <rPr>
        <sz val="11"/>
        <color rgb="FF000000"/>
        <rFont val="Calibri"/>
        <family val="2"/>
        <charset val="1"/>
      </rPr>
      <t>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</si>
  <si>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/>
        <sz val="11"/>
        <color rgb="FF000000"/>
        <rFont val="Calibri"/>
        <family val="2"/>
        <charset val="1"/>
      </rPr>
      <t xml:space="preserve">Uso obligatorio de Equipos de Protección Personal (EPP)
</t>
    </r>
    <r>
      <rPr>
        <sz val="11"/>
        <color rgb="FF000000"/>
        <rFont val="Calibri"/>
        <family val="2"/>
        <charset val="1"/>
      </rPr>
      <t>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</si>
  <si>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/>
        <sz val="11"/>
        <color rgb="FF000000"/>
        <rFont val="Calibri"/>
        <family val="2"/>
        <charset val="1"/>
      </rPr>
      <t xml:space="preserve">Prevención de riesgos químicos
</t>
    </r>
    <r>
      <rPr>
        <sz val="11"/>
        <color rgb="FF000000"/>
        <rFont val="Calibri"/>
        <family val="2"/>
        <charset val="1"/>
      </rPr>
      <t>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</si>
  <si>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/>
        <sz val="11"/>
        <color rgb="FF000000"/>
        <rFont val="Calibri"/>
        <family val="2"/>
        <charset val="1"/>
      </rPr>
      <t xml:space="preserve">Prevención de riesgos ergonómicos
</t>
    </r>
    <r>
      <rPr>
        <sz val="11"/>
        <color rgb="FF000000"/>
        <rFont val="Calibri"/>
        <family val="2"/>
        <charset val="1"/>
      </rPr>
      <t>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</si>
  <si>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/>
        <sz val="11"/>
        <color rgb="FF000000"/>
        <rFont val="Calibri"/>
        <family val="2"/>
        <charset val="1"/>
      </rPr>
      <t xml:space="preserve">Prevención de caídas, golpes y atrapamientos
</t>
    </r>
    <r>
      <rPr>
        <sz val="11"/>
        <color rgb="FF000000"/>
        <rFont val="Calibri"/>
        <family val="2"/>
        <charset val="1"/>
      </rPr>
      <t>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</si>
  <si>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/>
        <sz val="11"/>
        <color rgb="FF000000"/>
        <rFont val="Calibri"/>
        <family val="2"/>
        <charset val="1"/>
      </rPr>
      <t xml:space="preserve">Prevención de riesgos biológicos
</t>
    </r>
    <r>
      <rPr>
        <sz val="11"/>
        <color rgb="FF000000"/>
        <rFont val="Calibri"/>
        <family val="2"/>
        <charset val="1"/>
      </rPr>
      <t>Utilizar guantes y mascarilla al manipular residuos.
Lavarse las manos antes y después de cada jornada.
Evitar contacto directo con fluidos corporales o desechos contaminados.
Cumplir con el protocolo de manejo de residuos.</t>
    </r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</si>
  <si>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</si>
  <si>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</si>
  <si>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</si>
  <si>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</si>
  <si>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</si>
  <si>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</si>
  <si>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</si>
  <si>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</si>
  <si>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</si>
  <si>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</si>
  <si>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</si>
  <si>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</si>
  <si>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</si>
  <si>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SI</t>
  </si>
  <si>
    <t>NO</t>
  </si>
  <si>
    <t>FECHA aaaa/mm/dd</t>
  </si>
  <si>
    <t xml:space="preserve">ESPECIFICAR </t>
  </si>
  <si>
    <t>Observaciónes</t>
  </si>
  <si>
    <t xml:space="preserve">I. ACTIVIDADES EXTRA LABORALES </t>
  </si>
  <si>
    <t>TIPO DE ACTIVIDAD</t>
  </si>
  <si>
    <t>( FECHA)    aaaa/mm/dd</t>
  </si>
  <si>
    <t xml:space="preserve">NIEGA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</si>
  <si>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</si>
  <si>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</si>
  <si>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</si>
  <si>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</si>
  <si>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BIOMETRIA HEMATICA</t>
  </si>
  <si>
    <t xml:space="preserve">QUIMICA SANGUINEA </t>
  </si>
  <si>
    <t xml:space="preserve">RX DE LUMBAR AP Y LATERAL </t>
  </si>
  <si>
    <t>EMO / COPROLOGICO</t>
  </si>
  <si>
    <t>VDRL</t>
  </si>
  <si>
    <t xml:space="preserve">OBSERVACIONES: </t>
  </si>
  <si>
    <r>
      <rPr>
        <b/>
        <sz val="12"/>
        <color rgb="FF000000"/>
        <rFont val="Arial"/>
        <family val="2"/>
        <charset val="1"/>
      </rPr>
      <t xml:space="preserve">K. DIAGNÓSTICO                                       </t>
    </r>
    <r>
      <rPr>
        <b/>
        <sz val="10"/>
        <color rgb="FF000000"/>
        <rFont val="Arial"/>
        <family val="2"/>
        <charset val="1"/>
      </rPr>
      <t xml:space="preserve">  PRE:PRESUNTIVO DEF: DEFINITIVO</t>
    </r>
  </si>
  <si>
    <t>CIE-10</t>
  </si>
  <si>
    <t>Descripción</t>
  </si>
  <si>
    <t>PRE</t>
  </si>
  <si>
    <t>DEF</t>
  </si>
  <si>
    <t>1. Z010</t>
  </si>
  <si>
    <t>EXAMEN DE SALUD OCUPACIONAL</t>
  </si>
  <si>
    <t>2, Z000</t>
  </si>
  <si>
    <t xml:space="preserve">EXAMEN MEDICO GENERAL 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</si>
  <si>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</si>
  <si>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</si>
  <si>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</si>
  <si>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</si>
  <si>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</si>
  <si>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Se realiza evaluación médica ocupacional de retiro al colaborador que desempeñó funciones operativas como auxiliar de limpieza, considerando las actividades realizadas y los riesgos laborales a los que estuvo expuesto. Se recomienda mantener las medidas de autocuidado. Los hallazgos clínicos y las recomendaciones específicas se consignan de acuerdo con los resultados de la evaluación de retiro.</t>
  </si>
  <si>
    <t>OBSERVACIONES:</t>
  </si>
  <si>
    <t>M. RECOMENDACIONES Y/O TRATAMIENTO</t>
  </si>
  <si>
    <t xml:space="preserve">Descripción: </t>
  </si>
  <si>
    <r>
      <rPr>
        <b/>
        <sz val="14"/>
        <color rgb="FF000000"/>
        <rFont val="Calibri"/>
        <family val="2"/>
        <charset val="1"/>
      </rPr>
      <t xml:space="preserve">RECOMENDACIONES GENERALES:
</t>
    </r>
    <r>
      <rPr>
        <sz val="12"/>
        <color rgb="FF000000"/>
        <rFont val="Calibri"/>
        <family val="2"/>
        <charset val="1"/>
      </rPr>
      <t xml:space="preserve">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</t>
    </r>
    <r>
      <rPr>
        <b/>
        <sz val="14"/>
        <color rgb="FF000000"/>
        <rFont val="Calibri"/>
        <family val="2"/>
        <charset val="1"/>
      </rPr>
      <t xml:space="preserve">RECOMENDACIONES LABORALES:
</t>
    </r>
    <r>
      <rPr>
        <sz val="12"/>
        <color rgb="FF000000"/>
        <rFont val="Calibri"/>
        <family val="2"/>
        <charset val="1"/>
      </rPr>
      <t>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t>
    </r>
  </si>
  <si>
    <t xml:space="preserve">N.RETIRO (evaluación) </t>
  </si>
  <si>
    <t>SE REALIZA LA EVALUACIÓN</t>
  </si>
  <si>
    <t>LA CONDICIÓN DE SALUD ESTA RELACIONADA CON EL TRABAJO</t>
  </si>
  <si>
    <t xml:space="preserve">Observación: </t>
  </si>
  <si>
    <t>O. DATOS DEL PROFESIONAL</t>
  </si>
  <si>
    <t>P. FIRMA DEL TRABAJADOR</t>
  </si>
  <si>
    <t>NOMBRES Y APELLIDOS DEL PROFESIONAL</t>
  </si>
  <si>
    <t xml:space="preserve">IVONNE ASTRID CARVAJAL PILLIZA </t>
  </si>
  <si>
    <t>CÓDIGO MEDICO</t>
  </si>
  <si>
    <t>FIRMA Y SELLO</t>
  </si>
  <si>
    <t xml:space="preserve">         CERTIFICADO - EVALUACIÓN MÉDICA OCUPACIONAL</t>
  </si>
  <si>
    <t xml:space="preserve">INSTITUCIÓN DEL SISTEMA </t>
  </si>
  <si>
    <t>ESTABLECIMIENTO /CENTRO DE TRABAJO</t>
  </si>
  <si>
    <t>CÉDULA / N.º H.C.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</si>
  <si>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</si>
  <si>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</si>
  <si>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</si>
  <si>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</si>
  <si>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</si>
  <si>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</si>
  <si>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</si>
  <si>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</si>
  <si>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</si>
  <si>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</si>
  <si>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</si>
  <si>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</si>
  <si>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</si>
  <si>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</si>
  <si>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</si>
  <si>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</si>
  <si>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</si>
  <si>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CON LIMITACIONES</t>
  </si>
  <si>
    <t xml:space="preserve">DETALLE DE OBSERVACIONES: </t>
  </si>
  <si>
    <t>D. RECOMENDACIONES/OBSERVACIONES</t>
  </si>
  <si>
    <t xml:space="preserve">Descripción 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</si>
  <si>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</si>
  <si>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</si>
  <si>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</si>
  <si>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t>F. FIRMA DEL USUARIO</t>
  </si>
  <si>
    <t>NOMBRE  Y APELLIDO</t>
  </si>
  <si>
    <r>
      <t xml:space="preserve">Descripción: </t>
    </r>
    <r>
      <rPr>
        <sz val="12"/>
        <color rgb="FF000000"/>
        <rFont val="Arial"/>
        <family val="2"/>
        <charset val="1"/>
      </rPr>
      <t xml:space="preserve"> Al momento de la evaluación, no refiere enfermedad o problema de salud actual. Refiere contar con vacunación contra COVID-19, según las dosis disponibles y recibidas. No presenta sintomatología actual relacionada.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</si>
</sst>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/mm/dd"/>
  </numFmts>
  <fonts count="43" x14ac:knownFonts="1">
    <font>
      <sz val="11"/>
      <color rgb="FF000000"/>
      <name val="Calibri"/>
      <charset val="1"/>
    </font>
    <font>
      <b/>
      <sz val="22"/>
      <color rgb="FF000000"/>
      <name val="Arial"/>
      <family val="2"/>
      <charset val="1"/>
    </font>
    <font>
      <b/>
      <sz val="12"/>
      <name val="Arial"/>
      <family val="2"/>
      <charset val="1"/>
    </font>
    <font>
      <sz val="9"/>
      <name val="Calibri"/>
      <family val="2"/>
      <charset val="1"/>
    </font>
    <font>
      <sz val="9"/>
      <name val="Arial"/>
      <family val="2"/>
      <charset val="1"/>
    </font>
    <font>
      <sz val="6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sz val="8"/>
      <color rgb="FF000000"/>
      <name val="Calibri"/>
      <family val="2"/>
      <charset val="1"/>
    </font>
    <font>
      <sz val="8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Arial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20"/>
      <color rgb="FFFF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8"/>
      <name val="Arial"/>
      <family val="2"/>
      <charset val="1"/>
    </font>
    <font>
      <sz val="9"/>
      <color theme="1"/>
      <name val="Arial"/>
      <family val="2"/>
      <charset val="1"/>
    </font>
    <font>
      <sz val="6"/>
      <name val="Arial"/>
      <family val="2"/>
      <charset val="1"/>
    </font>
    <font>
      <b/>
      <sz val="9"/>
      <color rgb="FFFF0000"/>
      <name val="Arial"/>
      <family val="2"/>
      <charset val="1"/>
    </font>
    <font>
      <b/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D9D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9D9FF"/>
        <bgColor rgb="FFCCCCFF"/>
      </patternFill>
    </fill>
  </fills>
  <borders count="156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 diagonalDown="1">
      <left style="thin">
        <color theme="0" tint="-4.9989318521683403E-2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4.9989318521683403E-2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>
      <left style="thick">
        <color theme="0" tint="-0.34998626667073579"/>
      </left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2" tint="-0.249977111117893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9847407452621"/>
      </bottom>
      <diagonal/>
    </border>
    <border>
      <left style="medium">
        <color theme="0" tint="-0.499984740745262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theme="0" tint="-0.14999847407452621"/>
      </top>
      <bottom style="thin">
        <color auto="1"/>
      </bottom>
      <diagonal/>
    </border>
    <border>
      <left style="thick">
        <color theme="0" tint="-0.499984740745262"/>
      </left>
      <right/>
      <top style="thin">
        <color auto="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 style="thick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thick">
        <color theme="0" tint="-0.499984740745262"/>
      </left>
      <right/>
      <top/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medium">
        <color theme="2" tint="-0.249977111117893"/>
      </bottom>
      <diagonal/>
    </border>
    <border>
      <left style="thick">
        <color theme="0" tint="-0.499984740745262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2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ck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34998626667073579"/>
      </left>
      <right/>
      <top/>
      <bottom/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ck">
        <color theme="0" tint="-0.34998626667073579"/>
      </right>
      <top style="thick">
        <color rgb="FF808080"/>
      </top>
      <bottom style="medium">
        <color rgb="FF808080"/>
      </bottom>
      <diagonal/>
    </border>
    <border>
      <left style="thick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34998626667073579"/>
      </right>
      <top style="medium">
        <color rgb="FF80808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auto="1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D9D9FF"/>
      </right>
      <top style="thin">
        <color auto="1"/>
      </top>
      <bottom/>
      <diagonal/>
    </border>
    <border>
      <left style="thin">
        <color rgb="FFD9D9FF"/>
      </left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rgb="FF808080"/>
      </top>
      <bottom style="thin">
        <color rgb="FFD9D9FF"/>
      </bottom>
      <diagonal/>
    </border>
    <border>
      <left style="thick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/>
      <top style="medium">
        <color theme="1" tint="0.49977111117893003"/>
      </top>
      <bottom/>
      <diagonal/>
    </border>
    <border>
      <left/>
      <right/>
      <top style="medium">
        <color theme="1" tint="0.49977111117893003"/>
      </top>
      <bottom/>
      <diagonal/>
    </border>
    <border>
      <left/>
      <right style="thick">
        <color theme="1" tint="0.49977111117893003"/>
      </right>
      <top style="medium">
        <color theme="1" tint="0.49977111117893003"/>
      </top>
      <bottom/>
      <diagonal/>
    </border>
    <border>
      <left style="thick">
        <color theme="1" tint="0.49977111117893003"/>
      </left>
      <right/>
      <top/>
      <bottom/>
      <diagonal/>
    </border>
    <border>
      <left/>
      <right style="thin">
        <color theme="1" tint="0.49977111117893003"/>
      </right>
      <top/>
      <bottom/>
      <diagonal/>
    </border>
    <border>
      <left/>
      <right style="thick">
        <color theme="1" tint="0.49977111117893003"/>
      </right>
      <top/>
      <bottom/>
      <diagonal/>
    </border>
    <border>
      <left/>
      <right/>
      <top style="thin">
        <color theme="1" tint="0.49977111117893003"/>
      </top>
      <bottom/>
      <diagonal/>
    </border>
    <border>
      <left style="thin">
        <color theme="1" tint="0.49977111117893003"/>
      </left>
      <right style="thin">
        <color theme="1" tint="0.49977111117893003"/>
      </right>
      <top/>
      <bottom/>
      <diagonal/>
    </border>
    <border>
      <left style="thick">
        <color theme="1" tint="0.49977111117893003"/>
      </left>
      <right/>
      <top/>
      <bottom style="thick">
        <color theme="1" tint="0.49977111117893003"/>
      </bottom>
      <diagonal/>
    </border>
    <border>
      <left/>
      <right/>
      <top/>
      <bottom style="thick">
        <color theme="1" tint="0.49977111117893003"/>
      </bottom>
      <diagonal/>
    </border>
    <border>
      <left/>
      <right style="thick">
        <color theme="1" tint="0.49977111117893003"/>
      </right>
      <top/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medium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/>
      <right/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medium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theme="0" tint="-0.499984740745262"/>
      </left>
      <right style="thin">
        <color rgb="FFD9D9D9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rgb="FFD9D9D9"/>
      </bottom>
      <diagonal/>
    </border>
    <border>
      <left/>
      <right style="thin">
        <color theme="0" tint="-0.14999847407452621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8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9" fillId="2" borderId="19" xfId="0" applyFont="1" applyFill="1" applyBorder="1"/>
    <xf numFmtId="0" fontId="4" fillId="2" borderId="21" xfId="0" applyFont="1" applyFill="1" applyBorder="1" applyAlignment="1">
      <alignment wrapText="1"/>
    </xf>
    <xf numFmtId="0" fontId="13" fillId="2" borderId="25" xfId="0" applyFont="1" applyFill="1" applyBorder="1"/>
    <xf numFmtId="0" fontId="13" fillId="4" borderId="27" xfId="0" applyFont="1" applyFill="1" applyBorder="1"/>
    <xf numFmtId="0" fontId="4" fillId="2" borderId="29" xfId="0" applyFont="1" applyFill="1" applyBorder="1" applyAlignment="1">
      <alignment vertical="center" wrapText="1"/>
    </xf>
    <xf numFmtId="0" fontId="4" fillId="2" borderId="33" xfId="0" applyFont="1" applyFill="1" applyBorder="1" applyAlignment="1">
      <alignment vertical="center" wrapText="1"/>
    </xf>
    <xf numFmtId="0" fontId="9" fillId="2" borderId="37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39" xfId="0" applyFont="1" applyFill="1" applyBorder="1" applyAlignment="1">
      <alignment horizontal="center"/>
    </xf>
    <xf numFmtId="0" fontId="9" fillId="2" borderId="40" xfId="0" applyFont="1" applyFill="1" applyBorder="1"/>
    <xf numFmtId="0" fontId="3" fillId="2" borderId="19" xfId="0" applyFont="1" applyFill="1" applyBorder="1"/>
    <xf numFmtId="0" fontId="3" fillId="0" borderId="0" xfId="0" applyFont="1"/>
    <xf numFmtId="0" fontId="9" fillId="2" borderId="43" xfId="0" applyFont="1" applyFill="1" applyBorder="1"/>
    <xf numFmtId="0" fontId="9" fillId="2" borderId="33" xfId="0" applyFont="1" applyFill="1" applyBorder="1"/>
    <xf numFmtId="0" fontId="4" fillId="2" borderId="19" xfId="0" applyFont="1" applyFill="1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4" fillId="5" borderId="35" xfId="0" applyFont="1" applyFill="1" applyBorder="1" applyAlignment="1">
      <alignment horizontal="center" wrapText="1"/>
    </xf>
    <xf numFmtId="0" fontId="4" fillId="0" borderId="35" xfId="0" applyFont="1" applyBorder="1"/>
    <xf numFmtId="0" fontId="4" fillId="0" borderId="68" xfId="0" applyFont="1" applyBorder="1"/>
    <xf numFmtId="0" fontId="9" fillId="2" borderId="74" xfId="0" applyFont="1" applyFill="1" applyBorder="1"/>
    <xf numFmtId="0" fontId="9" fillId="2" borderId="0" xfId="0" applyFont="1" applyFill="1"/>
    <xf numFmtId="0" fontId="20" fillId="2" borderId="19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5" borderId="35" xfId="0" applyFill="1" applyBorder="1" applyAlignment="1">
      <alignment horizontal="left"/>
    </xf>
    <xf numFmtId="0" fontId="0" fillId="2" borderId="35" xfId="0" applyFill="1" applyBorder="1"/>
    <xf numFmtId="0" fontId="0" fillId="0" borderId="35" xfId="0" applyBorder="1"/>
    <xf numFmtId="0" fontId="0" fillId="2" borderId="8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0" xfId="0" applyFill="1" applyBorder="1"/>
    <xf numFmtId="0" fontId="0" fillId="5" borderId="35" xfId="0" applyFill="1" applyBorder="1"/>
    <xf numFmtId="0" fontId="13" fillId="2" borderId="35" xfId="0" applyFont="1" applyFill="1" applyBorder="1" applyAlignment="1">
      <alignment horizontal="center" vertical="center" wrapText="1"/>
    </xf>
    <xf numFmtId="0" fontId="12" fillId="2" borderId="48" xfId="0" applyFont="1" applyFill="1" applyBorder="1"/>
    <xf numFmtId="0" fontId="20" fillId="0" borderId="35" xfId="0" applyFont="1" applyBorder="1" applyAlignment="1">
      <alignment horizontal="center" vertical="center"/>
    </xf>
    <xf numFmtId="0" fontId="0" fillId="0" borderId="48" xfId="0" applyBorder="1"/>
    <xf numFmtId="0" fontId="12" fillId="4" borderId="35" xfId="0" applyFont="1" applyFill="1" applyBorder="1"/>
    <xf numFmtId="0" fontId="0" fillId="0" borderId="81" xfId="0" applyBorder="1" applyAlignment="1">
      <alignment horizontal="center"/>
    </xf>
    <xf numFmtId="0" fontId="0" fillId="0" borderId="94" xfId="0" applyBorder="1" applyAlignment="1">
      <alignment horizontal="center"/>
    </xf>
    <xf numFmtId="0" fontId="13" fillId="2" borderId="0" xfId="0" applyFont="1" applyFill="1"/>
    <xf numFmtId="0" fontId="9" fillId="2" borderId="98" xfId="0" applyFont="1" applyFill="1" applyBorder="1"/>
    <xf numFmtId="0" fontId="4" fillId="4" borderId="100" xfId="0" applyFont="1" applyFill="1" applyBorder="1" applyAlignment="1">
      <alignment vertical="center" wrapText="1"/>
    </xf>
    <xf numFmtId="0" fontId="4" fillId="4" borderId="101" xfId="0" applyFont="1" applyFill="1" applyBorder="1" applyAlignment="1">
      <alignment vertical="center" wrapText="1"/>
    </xf>
    <xf numFmtId="0" fontId="9" fillId="2" borderId="103" xfId="0" applyFont="1" applyFill="1" applyBorder="1"/>
    <xf numFmtId="0" fontId="8" fillId="2" borderId="86" xfId="0" applyFont="1" applyFill="1" applyBorder="1" applyAlignment="1">
      <alignment horizontal="center"/>
    </xf>
    <xf numFmtId="0" fontId="8" fillId="2" borderId="86" xfId="0" applyFont="1" applyFill="1" applyBorder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0" fillId="4" borderId="106" xfId="0" applyFill="1" applyBorder="1"/>
    <xf numFmtId="0" fontId="10" fillId="2" borderId="126" xfId="0" applyFont="1" applyFill="1" applyBorder="1" applyAlignment="1">
      <alignment horizontal="left" vertical="center" wrapText="1"/>
    </xf>
    <xf numFmtId="0" fontId="10" fillId="2" borderId="127" xfId="0" applyFont="1" applyFill="1" applyBorder="1" applyAlignment="1">
      <alignment horizontal="left" vertical="center" wrapText="1"/>
    </xf>
    <xf numFmtId="0" fontId="10" fillId="2" borderId="128" xfId="0" applyFont="1" applyFill="1" applyBorder="1" applyAlignment="1">
      <alignment horizontal="left" vertical="center" wrapText="1"/>
    </xf>
    <xf numFmtId="0" fontId="37" fillId="2" borderId="129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horizontal="center" wrapText="1"/>
    </xf>
    <xf numFmtId="0" fontId="8" fillId="2" borderId="120" xfId="0" applyFont="1" applyFill="1" applyBorder="1" applyAlignment="1">
      <alignment wrapText="1"/>
    </xf>
    <xf numFmtId="0" fontId="3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131" xfId="0" applyFont="1" applyFill="1" applyBorder="1" applyAlignment="1">
      <alignment wrapText="1"/>
    </xf>
    <xf numFmtId="0" fontId="3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 wrapText="1"/>
    </xf>
    <xf numFmtId="0" fontId="38" fillId="2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8" fillId="2" borderId="131" xfId="0" applyFont="1" applyFill="1" applyBorder="1" applyAlignment="1">
      <alignment horizontal="left" vertical="center" wrapText="1"/>
    </xf>
    <xf numFmtId="0" fontId="0" fillId="2" borderId="129" xfId="0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8" fillId="2" borderId="134" xfId="0" applyFont="1" applyFill="1" applyBorder="1" applyAlignment="1">
      <alignment vertical="center" wrapText="1"/>
    </xf>
    <xf numFmtId="0" fontId="8" fillId="2" borderId="135" xfId="0" applyFont="1" applyFill="1" applyBorder="1" applyAlignment="1">
      <alignment vertical="center" wrapText="1"/>
    </xf>
    <xf numFmtId="0" fontId="8" fillId="2" borderId="135" xfId="0" applyFont="1" applyFill="1" applyBorder="1" applyAlignment="1">
      <alignment horizontal="center" vertical="center"/>
    </xf>
    <xf numFmtId="0" fontId="2" fillId="2" borderId="135" xfId="0" applyFont="1" applyFill="1" applyBorder="1" applyAlignment="1">
      <alignment horizontal="center" vertical="center"/>
    </xf>
    <xf numFmtId="0" fontId="8" fillId="2" borderId="136" xfId="0" applyFont="1" applyFill="1" applyBorder="1" applyAlignment="1">
      <alignment vertical="center" wrapText="1"/>
    </xf>
    <xf numFmtId="0" fontId="16" fillId="2" borderId="1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0" fillId="2" borderId="148" xfId="0" applyFill="1" applyBorder="1" applyAlignment="1">
      <alignment horizontal="left"/>
    </xf>
    <xf numFmtId="0" fontId="0" fillId="0" borderId="35" xfId="0" applyBorder="1" applyAlignment="1">
      <alignment horizontal="center"/>
    </xf>
    <xf numFmtId="0" fontId="0" fillId="5" borderId="35" xfId="0" applyFill="1" applyBorder="1" applyAlignment="1">
      <alignment horizontal="left"/>
    </xf>
    <xf numFmtId="0" fontId="0" fillId="2" borderId="88" xfId="0" applyFill="1" applyBorder="1" applyAlignment="1">
      <alignment horizontal="center"/>
    </xf>
    <xf numFmtId="0" fontId="24" fillId="0" borderId="89" xfId="0" applyFont="1" applyBorder="1" applyAlignment="1">
      <alignment horizontal="left"/>
    </xf>
    <xf numFmtId="0" fontId="0" fillId="0" borderId="89" xfId="0" applyBorder="1" applyAlignment="1">
      <alignment horizontal="left" vertical="center"/>
    </xf>
    <xf numFmtId="0" fontId="0" fillId="0" borderId="75" xfId="0" applyBorder="1" applyAlignment="1">
      <alignment horizontal="left"/>
    </xf>
    <xf numFmtId="0" fontId="0" fillId="5" borderId="35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5" borderId="35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/>
    </xf>
    <xf numFmtId="0" fontId="0" fillId="5" borderId="33" xfId="0" applyFill="1" applyBorder="1" applyAlignment="1">
      <alignment horizontal="center" wrapText="1"/>
    </xf>
    <xf numFmtId="0" fontId="0" fillId="5" borderId="35" xfId="0" applyFill="1" applyBorder="1" applyAlignment="1">
      <alignment horizontal="left" wrapText="1"/>
    </xf>
    <xf numFmtId="0" fontId="0" fillId="5" borderId="35" xfId="0" applyFill="1" applyBorder="1" applyAlignment="1">
      <alignment horizontal="center" vertical="center"/>
    </xf>
    <xf numFmtId="0" fontId="23" fillId="2" borderId="35" xfId="0" applyFont="1" applyFill="1" applyBorder="1" applyAlignment="1">
      <alignment horizontal="center" vertical="center"/>
    </xf>
    <xf numFmtId="0" fontId="0" fillId="5" borderId="35" xfId="0" applyFill="1" applyBorder="1" applyAlignment="1">
      <alignment vertical="center" wrapText="1"/>
    </xf>
    <xf numFmtId="0" fontId="4" fillId="2" borderId="86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left"/>
    </xf>
    <xf numFmtId="0" fontId="10" fillId="4" borderId="87" xfId="0" applyFont="1" applyFill="1" applyBorder="1" applyAlignment="1">
      <alignment horizontal="left"/>
    </xf>
    <xf numFmtId="0" fontId="0" fillId="5" borderId="33" xfId="0" applyFill="1" applyBorder="1" applyAlignment="1">
      <alignment horizontal="center"/>
    </xf>
    <xf numFmtId="0" fontId="22" fillId="2" borderId="35" xfId="0" applyFont="1" applyFill="1" applyBorder="1" applyAlignment="1">
      <alignment horizontal="center" vertical="center"/>
    </xf>
    <xf numFmtId="0" fontId="21" fillId="2" borderId="80" xfId="0" applyFont="1" applyFill="1" applyBorder="1" applyAlignment="1">
      <alignment horizontal="center" vertical="center" wrapText="1"/>
    </xf>
    <xf numFmtId="0" fontId="21" fillId="2" borderId="81" xfId="0" applyFont="1" applyFill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 wrapText="1"/>
    </xf>
    <xf numFmtId="49" fontId="21" fillId="0" borderId="84" xfId="0" applyNumberFormat="1" applyFont="1" applyBorder="1" applyAlignment="1">
      <alignment horizontal="center" vertical="center" wrapText="1"/>
    </xf>
    <xf numFmtId="0" fontId="21" fillId="0" borderId="85" xfId="0" applyFont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left"/>
    </xf>
    <xf numFmtId="0" fontId="4" fillId="2" borderId="7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left" vertical="center" wrapText="1"/>
    </xf>
    <xf numFmtId="0" fontId="27" fillId="0" borderId="41" xfId="0" applyFont="1" applyBorder="1" applyAlignment="1">
      <alignment horizontal="left" vertical="top" wrapText="1"/>
    </xf>
    <xf numFmtId="0" fontId="2" fillId="3" borderId="77" xfId="0" applyFont="1" applyFill="1" applyBorder="1" applyAlignment="1">
      <alignment horizontal="left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top" wrapText="1"/>
    </xf>
    <xf numFmtId="0" fontId="4" fillId="2" borderId="61" xfId="0" applyFont="1" applyFill="1" applyBorder="1" applyAlignment="1">
      <alignment horizontal="left" wrapText="1"/>
    </xf>
    <xf numFmtId="0" fontId="15" fillId="4" borderId="71" xfId="0" applyFont="1" applyFill="1" applyBorder="1" applyAlignment="1">
      <alignment horizontal="left" vertical="center" wrapText="1"/>
    </xf>
    <xf numFmtId="0" fontId="15" fillId="4" borderId="72" xfId="0" applyFont="1" applyFill="1" applyBorder="1" applyAlignment="1">
      <alignment horizontal="center" vertical="center"/>
    </xf>
    <xf numFmtId="0" fontId="15" fillId="4" borderId="73" xfId="0" applyFont="1" applyFill="1" applyBorder="1" applyAlignment="1">
      <alignment horizontal="center" vertical="center"/>
    </xf>
    <xf numFmtId="0" fontId="15" fillId="5" borderId="61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15" fillId="0" borderId="3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/>
    </xf>
    <xf numFmtId="0" fontId="4" fillId="2" borderId="67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4" fillId="2" borderId="69" xfId="0" applyFont="1" applyFill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5" borderId="58" xfId="0" applyFont="1" applyFill="1" applyBorder="1" applyAlignment="1">
      <alignment horizontal="center" vertical="center"/>
    </xf>
    <xf numFmtId="0" fontId="6" fillId="5" borderId="59" xfId="0" applyFont="1" applyFill="1" applyBorder="1" applyAlignment="1">
      <alignment horizontal="center" vertical="center" wrapText="1"/>
    </xf>
    <xf numFmtId="0" fontId="4" fillId="5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left" vertical="top" wrapText="1"/>
    </xf>
    <xf numFmtId="17" fontId="4" fillId="2" borderId="62" xfId="0" applyNumberFormat="1" applyFont="1" applyFill="1" applyBorder="1" applyAlignment="1">
      <alignment horizontal="center" vertical="top" wrapText="1"/>
    </xf>
    <xf numFmtId="0" fontId="4" fillId="2" borderId="63" xfId="0" applyFont="1" applyFill="1" applyBorder="1" applyAlignment="1">
      <alignment horizontal="left" vertical="top" wrapText="1"/>
    </xf>
    <xf numFmtId="0" fontId="15" fillId="4" borderId="64" xfId="0" applyFont="1" applyFill="1" applyBorder="1" applyAlignment="1">
      <alignment horizontal="left" vertical="center" wrapText="1"/>
    </xf>
    <xf numFmtId="0" fontId="4" fillId="5" borderId="58" xfId="0" applyFont="1" applyFill="1" applyBorder="1" applyAlignment="1">
      <alignment horizontal="left" vertical="center"/>
    </xf>
    <xf numFmtId="0" fontId="17" fillId="5" borderId="59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wrapText="1"/>
    </xf>
    <xf numFmtId="0" fontId="4" fillId="5" borderId="62" xfId="0" applyFont="1" applyFill="1" applyBorder="1" applyAlignment="1">
      <alignment horizontal="center" wrapText="1"/>
    </xf>
    <xf numFmtId="0" fontId="4" fillId="5" borderId="48" xfId="0" applyFont="1" applyFill="1" applyBorder="1" applyAlignment="1">
      <alignment horizontal="center" wrapText="1"/>
    </xf>
    <xf numFmtId="164" fontId="15" fillId="0" borderId="52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15" fillId="4" borderId="51" xfId="0" applyFont="1" applyFill="1" applyBorder="1" applyAlignment="1">
      <alignment horizontal="left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5" borderId="55" xfId="0" applyFont="1" applyFill="1" applyBorder="1" applyAlignment="1">
      <alignment horizontal="center" vertical="center" wrapText="1"/>
    </xf>
    <xf numFmtId="0" fontId="15" fillId="4" borderId="42" xfId="0" applyFont="1" applyFill="1" applyBorder="1" applyAlignment="1">
      <alignment horizontal="left" vertical="center" wrapText="1"/>
    </xf>
    <xf numFmtId="0" fontId="15" fillId="0" borderId="44" xfId="0" applyFont="1" applyBorder="1" applyAlignment="1">
      <alignment horizontal="left" vertical="top" wrapText="1"/>
    </xf>
    <xf numFmtId="0" fontId="15" fillId="2" borderId="44" xfId="0" applyFont="1" applyFill="1" applyBorder="1" applyAlignment="1">
      <alignment horizontal="left" vertical="top"/>
    </xf>
    <xf numFmtId="0" fontId="4" fillId="4" borderId="45" xfId="0" applyFont="1" applyFill="1" applyBorder="1" applyAlignment="1">
      <alignment horizontal="left" vertical="center" wrapText="1"/>
    </xf>
    <xf numFmtId="0" fontId="8" fillId="5" borderId="46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top"/>
    </xf>
    <xf numFmtId="0" fontId="8" fillId="5" borderId="47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left" vertical="top"/>
    </xf>
    <xf numFmtId="0" fontId="8" fillId="5" borderId="48" xfId="0" applyFont="1" applyFill="1" applyBorder="1" applyAlignment="1">
      <alignment horizontal="center" vertical="top"/>
    </xf>
    <xf numFmtId="0" fontId="8" fillId="0" borderId="49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top"/>
    </xf>
    <xf numFmtId="0" fontId="16" fillId="0" borderId="50" xfId="0" applyFont="1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5" fillId="0" borderId="38" xfId="0" applyFont="1" applyBorder="1" applyAlignment="1">
      <alignment horizontal="left" vertical="top"/>
    </xf>
    <xf numFmtId="0" fontId="2" fillId="3" borderId="20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wrapText="1"/>
    </xf>
    <xf numFmtId="164" fontId="8" fillId="2" borderId="24" xfId="0" applyNumberFormat="1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left"/>
    </xf>
    <xf numFmtId="0" fontId="13" fillId="4" borderId="27" xfId="0" applyFont="1" applyFill="1" applyBorder="1" applyAlignment="1">
      <alignment horizontal="left"/>
    </xf>
    <xf numFmtId="0" fontId="13" fillId="4" borderId="28" xfId="0" applyFont="1" applyFill="1" applyBorder="1" applyAlignment="1">
      <alignment horizontal="left"/>
    </xf>
    <xf numFmtId="165" fontId="8" fillId="2" borderId="30" xfId="0" applyNumberFormat="1" applyFont="1" applyFill="1" applyBorder="1" applyAlignment="1">
      <alignment horizontal="center" vertical="center" wrapText="1"/>
    </xf>
    <xf numFmtId="164" fontId="4" fillId="2" borderId="31" xfId="0" applyNumberFormat="1" applyFont="1" applyFill="1" applyBorder="1" applyAlignment="1">
      <alignment horizontal="center" vertical="center" wrapText="1"/>
    </xf>
    <xf numFmtId="164" fontId="8" fillId="2" borderId="32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2" fontId="8" fillId="2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2" fillId="4" borderId="75" xfId="0" applyFont="1" applyFill="1" applyBorder="1" applyAlignment="1">
      <alignment horizontal="center" vertical="center"/>
    </xf>
    <xf numFmtId="0" fontId="20" fillId="0" borderId="91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0" fillId="0" borderId="48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4" borderId="48" xfId="0" applyFill="1" applyBorder="1" applyAlignment="1">
      <alignment horizontal="center"/>
    </xf>
    <xf numFmtId="0" fontId="20" fillId="0" borderId="9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12" fillId="4" borderId="61" xfId="0" applyFont="1" applyFill="1" applyBorder="1" applyAlignment="1">
      <alignment horizontal="center" vertical="center" wrapText="1"/>
    </xf>
    <xf numFmtId="0" fontId="12" fillId="4" borderId="61" xfId="0" applyFont="1" applyFill="1" applyBorder="1" applyAlignment="1">
      <alignment horizontal="center" vertical="center"/>
    </xf>
    <xf numFmtId="0" fontId="20" fillId="4" borderId="48" xfId="0" applyFont="1" applyFill="1" applyBorder="1" applyAlignment="1">
      <alignment horizontal="center"/>
    </xf>
    <xf numFmtId="0" fontId="12" fillId="4" borderId="61" xfId="0" applyFont="1" applyFill="1" applyBorder="1" applyAlignment="1">
      <alignment vertical="center"/>
    </xf>
    <xf numFmtId="0" fontId="0" fillId="4" borderId="48" xfId="0" applyFill="1" applyBorder="1" applyAlignment="1">
      <alignment horizont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92" xfId="0" applyFont="1" applyFill="1" applyBorder="1" applyAlignment="1">
      <alignment horizontal="center" vertical="center"/>
    </xf>
    <xf numFmtId="0" fontId="0" fillId="4" borderId="93" xfId="0" applyFill="1" applyBorder="1" applyAlignment="1">
      <alignment horizontal="center"/>
    </xf>
    <xf numFmtId="0" fontId="2" fillId="3" borderId="41" xfId="0" applyFont="1" applyFill="1" applyBorder="1" applyAlignment="1">
      <alignment horizontal="center" vertical="center" wrapText="1"/>
    </xf>
    <xf numFmtId="49" fontId="12" fillId="0" borderId="63" xfId="0" applyNumberFormat="1" applyFont="1" applyBorder="1" applyAlignment="1">
      <alignment horizontal="center" vertical="center"/>
    </xf>
    <xf numFmtId="0" fontId="0" fillId="4" borderId="90" xfId="0" applyFill="1" applyBorder="1" applyAlignment="1">
      <alignment horizontal="center" vertical="center"/>
    </xf>
    <xf numFmtId="0" fontId="12" fillId="4" borderId="91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3" fillId="2" borderId="91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0" fillId="4" borderId="61" xfId="0" applyFill="1" applyBorder="1" applyAlignment="1">
      <alignment horizontal="left"/>
    </xf>
    <xf numFmtId="0" fontId="0" fillId="4" borderId="35" xfId="0" applyFill="1" applyBorder="1" applyAlignment="1">
      <alignment horizontal="left"/>
    </xf>
    <xf numFmtId="0" fontId="30" fillId="0" borderId="48" xfId="0" applyFont="1" applyBorder="1" applyAlignment="1">
      <alignment horizontal="center" vertical="center"/>
    </xf>
    <xf numFmtId="0" fontId="20" fillId="0" borderId="89" xfId="0" applyFont="1" applyBorder="1" applyAlignment="1">
      <alignment horizontal="left" vertical="center" wrapText="1"/>
    </xf>
    <xf numFmtId="0" fontId="0" fillId="0" borderId="86" xfId="0" applyBorder="1" applyAlignment="1">
      <alignment horizontal="center"/>
    </xf>
    <xf numFmtId="0" fontId="0" fillId="0" borderId="108" xfId="0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86" xfId="0" applyBorder="1" applyAlignment="1">
      <alignment horizontal="left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2" xfId="0" applyBorder="1" applyAlignment="1">
      <alignment horizontal="center"/>
    </xf>
    <xf numFmtId="0" fontId="0" fillId="0" borderId="95" xfId="0" applyBorder="1" applyAlignment="1">
      <alignment horizontal="center"/>
    </xf>
    <xf numFmtId="0" fontId="33" fillId="2" borderId="89" xfId="0" applyFont="1" applyFill="1" applyBorder="1" applyAlignment="1">
      <alignment horizontal="left" vertical="center" wrapText="1"/>
    </xf>
    <xf numFmtId="0" fontId="20" fillId="0" borderId="107" xfId="0" applyFont="1" applyBorder="1" applyAlignment="1">
      <alignment horizontal="left"/>
    </xf>
    <xf numFmtId="0" fontId="34" fillId="0" borderId="87" xfId="0" applyFont="1" applyBorder="1" applyAlignment="1">
      <alignment horizontal="left"/>
    </xf>
    <xf numFmtId="0" fontId="34" fillId="0" borderId="89" xfId="0" applyFont="1" applyBorder="1" applyAlignment="1">
      <alignment horizontal="left" vertical="top" wrapText="1"/>
    </xf>
    <xf numFmtId="0" fontId="0" fillId="4" borderId="92" xfId="0" applyFill="1" applyBorder="1" applyAlignment="1">
      <alignment horizontal="left"/>
    </xf>
    <xf numFmtId="0" fontId="0" fillId="4" borderId="106" xfId="0" applyFill="1" applyBorder="1" applyAlignment="1">
      <alignment horizontal="left"/>
    </xf>
    <xf numFmtId="0" fontId="30" fillId="0" borderId="106" xfId="0" applyFont="1" applyBorder="1" applyAlignment="1">
      <alignment horizontal="center" vertical="center"/>
    </xf>
    <xf numFmtId="0" fontId="0" fillId="0" borderId="33" xfId="0" applyBorder="1" applyAlignment="1">
      <alignment horizontal="left"/>
    </xf>
    <xf numFmtId="0" fontId="29" fillId="0" borderId="91" xfId="0" applyFont="1" applyBorder="1" applyAlignment="1">
      <alignment horizontal="center" vertical="center"/>
    </xf>
    <xf numFmtId="0" fontId="0" fillId="4" borderId="92" xfId="0" applyFill="1" applyBorder="1" applyAlignment="1">
      <alignment horizontal="center"/>
    </xf>
    <xf numFmtId="0" fontId="31" fillId="2" borderId="106" xfId="0" applyFont="1" applyFill="1" applyBorder="1" applyAlignment="1">
      <alignment horizontal="center" vertical="center"/>
    </xf>
    <xf numFmtId="0" fontId="0" fillId="4" borderId="106" xfId="0" applyFill="1" applyBorder="1" applyAlignment="1">
      <alignment horizontal="center"/>
    </xf>
    <xf numFmtId="0" fontId="32" fillId="2" borderId="106" xfId="0" applyFont="1" applyFill="1" applyBorder="1" applyAlignment="1">
      <alignment horizontal="center" vertical="center"/>
    </xf>
    <xf numFmtId="0" fontId="0" fillId="2" borderId="106" xfId="0" applyFill="1" applyBorder="1" applyAlignment="1">
      <alignment horizontal="center"/>
    </xf>
    <xf numFmtId="0" fontId="31" fillId="2" borderId="93" xfId="0" applyFont="1" applyFill="1" applyBorder="1" applyAlignment="1">
      <alignment horizontal="center" vertical="center"/>
    </xf>
    <xf numFmtId="0" fontId="0" fillId="4" borderId="96" xfId="0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29" fillId="0" borderId="91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0" fillId="2" borderId="153" xfId="0" applyFill="1" applyBorder="1" applyAlignment="1">
      <alignment horizontal="left" vertical="center"/>
    </xf>
    <xf numFmtId="0" fontId="0" fillId="2" borderId="154" xfId="0" applyFill="1" applyBorder="1" applyAlignment="1">
      <alignment horizontal="left" vertical="center"/>
    </xf>
    <xf numFmtId="0" fontId="0" fillId="2" borderId="155" xfId="0" applyFill="1" applyBorder="1" applyAlignment="1">
      <alignment horizontal="left" vertical="center"/>
    </xf>
    <xf numFmtId="164" fontId="0" fillId="0" borderId="91" xfId="0" applyNumberFormat="1" applyBorder="1" applyAlignment="1">
      <alignment horizontal="left" vertical="center"/>
    </xf>
    <xf numFmtId="164" fontId="0" fillId="0" borderId="35" xfId="0" applyNumberFormat="1" applyBorder="1" applyAlignment="1">
      <alignment horizontal="left" vertical="center"/>
    </xf>
    <xf numFmtId="0" fontId="24" fillId="0" borderId="48" xfId="0" applyFont="1" applyBorder="1" applyAlignment="1">
      <alignment horizontal="left"/>
    </xf>
    <xf numFmtId="0" fontId="0" fillId="0" borderId="96" xfId="0" applyBorder="1" applyAlignment="1">
      <alignment horizontal="left"/>
    </xf>
    <xf numFmtId="0" fontId="0" fillId="0" borderId="152" xfId="0" applyBorder="1" applyAlignment="1">
      <alignment horizontal="left"/>
    </xf>
    <xf numFmtId="0" fontId="24" fillId="0" borderId="75" xfId="0" applyFont="1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27" fillId="3" borderId="41" xfId="0" applyFont="1" applyFill="1" applyBorder="1" applyAlignment="1">
      <alignment horizontal="left"/>
    </xf>
    <xf numFmtId="0" fontId="0" fillId="0" borderId="61" xfId="0" applyBorder="1" applyAlignment="1">
      <alignment horizontal="left" vertical="center"/>
    </xf>
    <xf numFmtId="0" fontId="24" fillId="0" borderId="48" xfId="0" applyFont="1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2" borderId="149" xfId="0" applyFill="1" applyBorder="1" applyAlignment="1">
      <alignment horizontal="left" vertical="center" wrapText="1"/>
    </xf>
    <xf numFmtId="0" fontId="0" fillId="2" borderId="150" xfId="0" applyFill="1" applyBorder="1" applyAlignment="1">
      <alignment horizontal="left" vertical="center" wrapText="1"/>
    </xf>
    <xf numFmtId="0" fontId="0" fillId="2" borderId="151" xfId="0" applyFill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4" fillId="4" borderId="99" xfId="0" applyFont="1" applyFill="1" applyBorder="1" applyAlignment="1">
      <alignment horizontal="center" vertical="center" wrapText="1"/>
    </xf>
    <xf numFmtId="0" fontId="4" fillId="4" borderId="102" xfId="0" applyFont="1" applyFill="1" applyBorder="1" applyAlignment="1">
      <alignment horizontal="center" vertical="center" wrapText="1"/>
    </xf>
    <xf numFmtId="0" fontId="2" fillId="0" borderId="104" xfId="0" applyFont="1" applyBorder="1" applyAlignment="1">
      <alignment horizontal="left" vertical="top"/>
    </xf>
    <xf numFmtId="17" fontId="26" fillId="0" borderId="105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4" borderId="96" xfId="0" applyFill="1" applyBorder="1" applyAlignment="1">
      <alignment horizontal="left"/>
    </xf>
    <xf numFmtId="0" fontId="0" fillId="4" borderId="97" xfId="0" applyFill="1" applyBorder="1" applyAlignment="1">
      <alignment horizontal="center" wrapText="1"/>
    </xf>
    <xf numFmtId="0" fontId="8" fillId="0" borderId="35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35" xfId="0" applyFont="1" applyBorder="1" applyAlignment="1">
      <alignment horizontal="center" wrapText="1"/>
    </xf>
    <xf numFmtId="0" fontId="15" fillId="4" borderId="95" xfId="0" applyFont="1" applyFill="1" applyBorder="1" applyAlignment="1">
      <alignment horizontal="left" vertical="center" wrapText="1"/>
    </xf>
    <xf numFmtId="0" fontId="18" fillId="4" borderId="96" xfId="0" applyFont="1" applyFill="1" applyBorder="1" applyAlignment="1">
      <alignment horizontal="center" vertical="center" wrapText="1"/>
    </xf>
    <xf numFmtId="0" fontId="18" fillId="4" borderId="97" xfId="0" applyFont="1" applyFill="1" applyBorder="1" applyAlignment="1">
      <alignment horizontal="center" vertical="center"/>
    </xf>
    <xf numFmtId="0" fontId="18" fillId="4" borderId="97" xfId="0" applyFont="1" applyFill="1" applyBorder="1" applyAlignment="1">
      <alignment horizontal="center" vertical="center" wrapText="1"/>
    </xf>
    <xf numFmtId="0" fontId="18" fillId="4" borderId="60" xfId="0" applyFont="1" applyFill="1" applyBorder="1" applyAlignment="1">
      <alignment horizontal="center" vertical="center" wrapText="1"/>
    </xf>
    <xf numFmtId="0" fontId="25" fillId="4" borderId="3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18" fillId="0" borderId="147" xfId="0" applyFont="1" applyBorder="1" applyAlignment="1">
      <alignment horizontal="center" vertical="center" wrapText="1"/>
    </xf>
    <xf numFmtId="0" fontId="41" fillId="0" borderId="144" xfId="0" applyFont="1" applyBorder="1" applyAlignment="1">
      <alignment horizontal="center"/>
    </xf>
    <xf numFmtId="0" fontId="18" fillId="4" borderId="145" xfId="0" applyFont="1" applyFill="1" applyBorder="1" applyAlignment="1">
      <alignment horizontal="center" vertical="center" wrapText="1"/>
    </xf>
    <xf numFmtId="0" fontId="18" fillId="0" borderId="146" xfId="0" applyFont="1" applyBorder="1" applyAlignment="1">
      <alignment horizontal="center" vertical="center" wrapText="1"/>
    </xf>
    <xf numFmtId="0" fontId="18" fillId="4" borderId="146" xfId="0" applyFont="1" applyFill="1" applyBorder="1" applyAlignment="1">
      <alignment horizontal="center" vertical="center" wrapText="1"/>
    </xf>
    <xf numFmtId="0" fontId="4" fillId="4" borderId="146" xfId="0" applyFont="1" applyFill="1" applyBorder="1" applyAlignment="1">
      <alignment horizontal="center" vertical="center" wrapText="1"/>
    </xf>
    <xf numFmtId="0" fontId="10" fillId="4" borderId="142" xfId="0" applyFont="1" applyFill="1" applyBorder="1" applyAlignment="1">
      <alignment horizontal="justify" vertical="center" wrapText="1"/>
    </xf>
    <xf numFmtId="0" fontId="4" fillId="0" borderId="143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6" borderId="144" xfId="0" applyFont="1" applyFill="1" applyBorder="1" applyAlignment="1">
      <alignment horizontal="left" vertical="center" wrapText="1"/>
    </xf>
    <xf numFmtId="0" fontId="28" fillId="2" borderId="138" xfId="0" applyFont="1" applyFill="1" applyBorder="1" applyAlignment="1">
      <alignment horizontal="left" vertical="top" wrapText="1"/>
    </xf>
    <xf numFmtId="0" fontId="8" fillId="2" borderId="139" xfId="0" applyFont="1" applyFill="1" applyBorder="1" applyAlignment="1">
      <alignment horizontal="left" vertical="center" wrapText="1"/>
    </xf>
    <xf numFmtId="0" fontId="2" fillId="6" borderId="140" xfId="0" applyFont="1" applyFill="1" applyBorder="1" applyAlignment="1">
      <alignment horizontal="left" vertical="center" wrapText="1"/>
    </xf>
    <xf numFmtId="0" fontId="40" fillId="2" borderId="138" xfId="0" applyFont="1" applyFill="1" applyBorder="1" applyAlignment="1">
      <alignment horizontal="left" vertical="top"/>
    </xf>
    <xf numFmtId="0" fontId="10" fillId="2" borderId="141" xfId="0" applyFont="1" applyFill="1" applyBorder="1" applyAlignment="1">
      <alignment horizontal="left" vertical="top" wrapText="1"/>
    </xf>
    <xf numFmtId="0" fontId="8" fillId="0" borderId="137" xfId="0" applyFont="1" applyBorder="1" applyAlignment="1">
      <alignment vertical="center" wrapText="1"/>
    </xf>
    <xf numFmtId="0" fontId="4" fillId="4" borderId="119" xfId="0" applyFont="1" applyFill="1" applyBorder="1" applyAlignment="1">
      <alignment horizontal="center" vertical="center" wrapText="1"/>
    </xf>
    <xf numFmtId="0" fontId="4" fillId="4" borderId="120" xfId="0" applyFont="1" applyFill="1" applyBorder="1" applyAlignment="1">
      <alignment horizontal="center" vertical="center" wrapText="1"/>
    </xf>
    <xf numFmtId="0" fontId="39" fillId="2" borderId="120" xfId="0" applyFont="1" applyFill="1" applyBorder="1" applyAlignment="1">
      <alignment horizontal="center" vertical="center" wrapText="1"/>
    </xf>
    <xf numFmtId="0" fontId="8" fillId="2" borderId="120" xfId="0" applyFont="1" applyFill="1" applyBorder="1" applyAlignment="1">
      <alignment horizontal="center" vertical="center" wrapText="1"/>
    </xf>
    <xf numFmtId="0" fontId="19" fillId="2" borderId="121" xfId="0" applyFont="1" applyFill="1" applyBorder="1" applyAlignment="1">
      <alignment horizontal="center" vertical="center" wrapText="1"/>
    </xf>
    <xf numFmtId="0" fontId="19" fillId="2" borderId="120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4" fillId="2" borderId="131" xfId="0" applyFont="1" applyFill="1" applyBorder="1" applyAlignment="1">
      <alignment horizontal="right" vertical="center"/>
    </xf>
    <xf numFmtId="0" fontId="2" fillId="6" borderId="1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9" fillId="2" borderId="120" xfId="0" applyFont="1" applyFill="1" applyBorder="1" applyAlignment="1">
      <alignment horizontal="center" vertical="center"/>
    </xf>
    <xf numFmtId="0" fontId="16" fillId="2" borderId="120" xfId="0" applyFont="1" applyFill="1" applyBorder="1" applyAlignment="1">
      <alignment horizontal="center" vertical="center"/>
    </xf>
    <xf numFmtId="0" fontId="4" fillId="2" borderId="133" xfId="0" applyFont="1" applyFill="1" applyBorder="1" applyAlignment="1">
      <alignment horizontal="center" vertical="center"/>
    </xf>
    <xf numFmtId="49" fontId="4" fillId="0" borderId="124" xfId="0" applyNumberFormat="1" applyFont="1" applyBorder="1" applyAlignment="1">
      <alignment horizontal="center" vertical="center" wrapText="1"/>
    </xf>
    <xf numFmtId="0" fontId="4" fillId="2" borderId="130" xfId="0" applyFont="1" applyFill="1" applyBorder="1" applyAlignment="1">
      <alignment horizontal="left" wrapText="1"/>
    </xf>
    <xf numFmtId="0" fontId="8" fillId="2" borderId="120" xfId="0" applyFont="1" applyFill="1" applyBorder="1" applyAlignment="1">
      <alignment horizontal="center" wrapText="1"/>
    </xf>
    <xf numFmtId="0" fontId="38" fillId="2" borderId="132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49" fontId="10" fillId="0" borderId="122" xfId="0" applyNumberFormat="1" applyFont="1" applyBorder="1" applyAlignment="1">
      <alignment horizontal="center" vertical="center" wrapText="1"/>
    </xf>
    <xf numFmtId="49" fontId="10" fillId="0" borderId="123" xfId="0" applyNumberFormat="1" applyFont="1" applyBorder="1" applyAlignment="1">
      <alignment horizontal="center" vertical="center" wrapText="1"/>
    </xf>
    <xf numFmtId="49" fontId="4" fillId="0" borderId="123" xfId="0" applyNumberFormat="1" applyFont="1" applyBorder="1" applyAlignment="1">
      <alignment horizontal="center" vertical="center" wrapText="1"/>
    </xf>
    <xf numFmtId="0" fontId="4" fillId="2" borderId="121" xfId="0" applyFont="1" applyFill="1" applyBorder="1" applyAlignment="1">
      <alignment horizontal="center" vertical="center" wrapText="1"/>
    </xf>
    <xf numFmtId="0" fontId="4" fillId="4" borderId="121" xfId="0" applyFont="1" applyFill="1" applyBorder="1" applyAlignment="1">
      <alignment horizontal="center" vertical="center" wrapText="1"/>
    </xf>
    <xf numFmtId="0" fontId="4" fillId="2" borderId="119" xfId="0" applyFont="1" applyFill="1" applyBorder="1" applyAlignment="1">
      <alignment horizontal="center" vertical="center" wrapText="1"/>
    </xf>
    <xf numFmtId="12" fontId="4" fillId="2" borderId="120" xfId="0" applyNumberFormat="1" applyFont="1" applyFill="1" applyBorder="1" applyAlignment="1">
      <alignment horizontal="center" vertical="center" wrapText="1"/>
    </xf>
    <xf numFmtId="11" fontId="4" fillId="2" borderId="120" xfId="0" applyNumberFormat="1" applyFont="1" applyFill="1" applyBorder="1" applyAlignment="1">
      <alignment horizontal="center" vertical="center" wrapText="1"/>
    </xf>
    <xf numFmtId="0" fontId="4" fillId="2" borderId="120" xfId="0" applyFont="1" applyFill="1" applyBorder="1" applyAlignment="1">
      <alignment horizontal="center" vertical="center" wrapText="1"/>
    </xf>
    <xf numFmtId="49" fontId="4" fillId="0" borderId="120" xfId="0" applyNumberFormat="1" applyFont="1" applyBorder="1" applyAlignment="1">
      <alignment horizontal="center" vertical="center" wrapText="1"/>
    </xf>
    <xf numFmtId="0" fontId="36" fillId="6" borderId="113" xfId="0" applyFont="1" applyFill="1" applyBorder="1" applyAlignment="1">
      <alignment horizontal="center" vertical="center" wrapText="1"/>
    </xf>
    <xf numFmtId="0" fontId="36" fillId="6" borderId="114" xfId="0" applyFont="1" applyFill="1" applyBorder="1" applyAlignment="1">
      <alignment horizontal="left" vertical="center" wrapText="1"/>
    </xf>
    <xf numFmtId="0" fontId="2" fillId="6" borderId="115" xfId="0" applyFont="1" applyFill="1" applyBorder="1" applyAlignment="1">
      <alignment horizontal="left" vertical="center" wrapText="1"/>
    </xf>
    <xf numFmtId="0" fontId="4" fillId="4" borderId="116" xfId="0" applyFont="1" applyFill="1" applyBorder="1" applyAlignment="1">
      <alignment horizontal="center" vertical="center" wrapText="1"/>
    </xf>
    <xf numFmtId="0" fontId="4" fillId="4" borderId="117" xfId="0" applyFont="1" applyFill="1" applyBorder="1" applyAlignment="1">
      <alignment horizontal="center" vertical="center" wrapText="1"/>
    </xf>
    <xf numFmtId="0" fontId="4" fillId="4" borderId="1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C0C0"/>
    <pageSetUpPr fitToPage="1"/>
  </sheetPr>
  <dimension ref="A1:BG70"/>
  <sheetViews>
    <sheetView topLeftCell="B1" zoomScale="81" zoomScaleNormal="81" workbookViewId="0">
      <selection activeCell="AI43" sqref="AI43:AK43"/>
    </sheetView>
  </sheetViews>
  <sheetFormatPr baseColWidth="10" defaultColWidth="9.140625" defaultRowHeight="15" x14ac:dyDescent="0.25"/>
  <cols>
    <col min="1" max="1" width="1.140625" style="2" hidden="1" customWidth="1"/>
    <col min="2" max="2" width="3" customWidth="1"/>
    <col min="3" max="3" width="2.7109375" customWidth="1"/>
    <col min="4" max="4" width="3" customWidth="1"/>
    <col min="5" max="5" width="3.28515625" customWidth="1"/>
    <col min="6" max="6" width="5" customWidth="1"/>
    <col min="7" max="9" width="3" customWidth="1"/>
    <col min="10" max="10" width="3.85546875" customWidth="1"/>
    <col min="11" max="11" width="4.28515625" customWidth="1"/>
    <col min="12" max="12" width="3.140625" style="3" customWidth="1"/>
    <col min="13" max="13" width="3.5703125" style="3" customWidth="1"/>
    <col min="14" max="14" width="5" style="3" customWidth="1"/>
    <col min="15" max="15" width="3" customWidth="1"/>
    <col min="16" max="16" width="2" customWidth="1"/>
    <col min="17" max="17" width="1.42578125" customWidth="1"/>
    <col min="18" max="19" width="2.7109375" customWidth="1"/>
    <col min="20" max="20" width="0.85546875" customWidth="1"/>
    <col min="21" max="23" width="4.42578125" customWidth="1"/>
    <col min="24" max="24" width="5.7109375" customWidth="1"/>
    <col min="25" max="25" width="7.5703125" customWidth="1"/>
    <col min="26" max="26" width="3.5703125" customWidth="1"/>
    <col min="27" max="27" width="1.42578125" customWidth="1"/>
    <col min="28" max="28" width="5.42578125" customWidth="1"/>
    <col min="29" max="29" width="5.5703125" customWidth="1"/>
    <col min="30" max="30" width="4.42578125" customWidth="1"/>
    <col min="31" max="31" width="6.7109375" customWidth="1"/>
    <col min="32" max="32" width="3.140625" customWidth="1"/>
    <col min="33" max="33" width="4.85546875" customWidth="1"/>
    <col min="34" max="34" width="10.42578125" customWidth="1"/>
    <col min="35" max="35" width="2.5703125" customWidth="1"/>
    <col min="36" max="36" width="5.7109375" customWidth="1"/>
    <col min="37" max="38" width="3.85546875" customWidth="1"/>
    <col min="39" max="39" width="3.140625" customWidth="1"/>
    <col min="40" max="40" width="6.28515625" customWidth="1"/>
    <col min="41" max="41" width="3.140625" customWidth="1"/>
    <col min="42" max="42" width="3" customWidth="1"/>
    <col min="43" max="43" width="2.42578125" customWidth="1"/>
    <col min="44" max="45" width="2.5703125" customWidth="1"/>
    <col min="46" max="46" width="1.5703125" customWidth="1"/>
    <col min="47" max="47" width="3.28515625" customWidth="1"/>
    <col min="48" max="48" width="2.5703125" customWidth="1"/>
    <col min="49" max="49" width="0.85546875" customWidth="1"/>
    <col min="50" max="50" width="2.5703125" customWidth="1"/>
    <col min="51" max="51" width="1.42578125" customWidth="1"/>
    <col min="52" max="52" width="0.7109375" customWidth="1"/>
    <col min="53" max="53" width="2.28515625" customWidth="1"/>
    <col min="54" max="54" width="8.42578125" customWidth="1"/>
    <col min="55" max="55" width="2.7109375" customWidth="1"/>
    <col min="56" max="56" width="2.140625" customWidth="1"/>
    <col min="57" max="57" width="3.140625" customWidth="1"/>
    <col min="58" max="58" width="1.28515625" customWidth="1"/>
    <col min="59" max="59" width="3.28515625" customWidth="1"/>
    <col min="60" max="256" width="11.42578125" customWidth="1"/>
  </cols>
  <sheetData>
    <row r="1" spans="1:59" ht="84.75" customHeight="1" x14ac:dyDescent="0.25"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1" t="s">
        <v>0</v>
      </c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</row>
    <row r="2" spans="1:59" ht="7.5" customHeight="1" x14ac:dyDescent="0.25"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</row>
    <row r="3" spans="1:59" ht="25.5" customHeight="1" x14ac:dyDescent="0.25">
      <c r="B3" s="233" t="s">
        <v>1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</row>
    <row r="4" spans="1:59" s="5" customFormat="1" ht="29.25" customHeight="1" x14ac:dyDescent="0.2">
      <c r="A4" s="4"/>
      <c r="B4" s="234" t="s">
        <v>2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5" t="s">
        <v>3</v>
      </c>
      <c r="R4" s="235"/>
      <c r="S4" s="235"/>
      <c r="T4" s="235"/>
      <c r="U4" s="235"/>
      <c r="V4" s="235"/>
      <c r="W4" s="235"/>
      <c r="X4" s="235"/>
      <c r="Y4" s="235"/>
      <c r="Z4" s="235" t="s">
        <v>4</v>
      </c>
      <c r="AA4" s="235"/>
      <c r="AB4" s="235"/>
      <c r="AC4" s="236" t="s">
        <v>5</v>
      </c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5" t="s">
        <v>6</v>
      </c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7" t="s">
        <v>7</v>
      </c>
      <c r="BC4" s="237"/>
      <c r="BD4" s="237"/>
      <c r="BE4" s="237"/>
      <c r="BF4" s="237"/>
      <c r="BG4" s="237"/>
    </row>
    <row r="5" spans="1:59" s="7" customFormat="1" ht="22.5" customHeight="1" x14ac:dyDescent="0.25">
      <c r="A5" s="6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4" t="s">
        <v>8</v>
      </c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6">
        <v>1</v>
      </c>
      <c r="BC5" s="226"/>
      <c r="BD5" s="226"/>
      <c r="BE5" s="226"/>
      <c r="BF5" s="226"/>
      <c r="BG5" s="226"/>
    </row>
    <row r="6" spans="1:59" s="9" customFormat="1" ht="12" customHeight="1" x14ac:dyDescent="0.25">
      <c r="A6" s="8"/>
      <c r="B6" s="227" t="s">
        <v>9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8" t="s">
        <v>10</v>
      </c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 t="s">
        <v>11</v>
      </c>
      <c r="AI6" s="228"/>
      <c r="AJ6" s="228"/>
      <c r="AK6" s="228"/>
      <c r="AL6" s="228"/>
      <c r="AM6" s="228"/>
      <c r="AN6" s="228"/>
      <c r="AO6" s="228"/>
      <c r="AP6" s="228"/>
      <c r="AQ6" s="228"/>
      <c r="AR6" s="229" t="s">
        <v>12</v>
      </c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</row>
    <row r="7" spans="1:59" s="9" customFormat="1" ht="21.75" customHeight="1" x14ac:dyDescent="0.25">
      <c r="A7" s="8"/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</row>
    <row r="8" spans="1:59" s="3" customFormat="1" ht="21" customHeight="1" x14ac:dyDescent="0.25">
      <c r="A8" s="10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</row>
    <row r="9" spans="1:59" s="12" customFormat="1" ht="15" customHeight="1" x14ac:dyDescent="0.25">
      <c r="A9" s="11"/>
      <c r="B9" s="214" t="s">
        <v>13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5" t="s">
        <v>14</v>
      </c>
      <c r="V9" s="215"/>
      <c r="W9" s="215"/>
      <c r="X9" s="215"/>
      <c r="Y9" s="215"/>
      <c r="Z9" s="216" t="s">
        <v>15</v>
      </c>
      <c r="AA9" s="216"/>
      <c r="AB9" s="216"/>
      <c r="AC9" s="216"/>
      <c r="AD9" s="216"/>
      <c r="AE9" s="216"/>
      <c r="AF9" s="217" t="s">
        <v>16</v>
      </c>
      <c r="AG9" s="217"/>
      <c r="AH9" s="217" t="s">
        <v>17</v>
      </c>
      <c r="AI9" s="217"/>
      <c r="AJ9" s="217"/>
      <c r="AK9" s="217"/>
      <c r="AL9" s="217"/>
      <c r="AM9" s="217"/>
      <c r="AN9" s="217"/>
      <c r="AO9" s="217"/>
      <c r="AP9" s="218" t="s">
        <v>18</v>
      </c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</row>
    <row r="10" spans="1:59" s="12" customFormat="1" ht="14.25" customHeight="1" x14ac:dyDescent="0.25">
      <c r="A10" s="11"/>
      <c r="B10" s="219" t="s">
        <v>19</v>
      </c>
      <c r="C10" s="219"/>
      <c r="D10" s="219"/>
      <c r="E10" s="219"/>
      <c r="F10" s="219"/>
      <c r="G10" s="220" t="s">
        <v>20</v>
      </c>
      <c r="H10" s="220"/>
      <c r="I10" s="220"/>
      <c r="J10" s="220"/>
      <c r="K10" s="220" t="s">
        <v>21</v>
      </c>
      <c r="L10" s="220"/>
      <c r="M10" s="220"/>
      <c r="N10" s="220" t="s">
        <v>22</v>
      </c>
      <c r="O10" s="220"/>
      <c r="P10" s="220"/>
      <c r="Q10" s="220"/>
      <c r="R10" s="220" t="s">
        <v>23</v>
      </c>
      <c r="S10" s="220"/>
      <c r="T10" s="220"/>
      <c r="U10" s="215"/>
      <c r="V10" s="215"/>
      <c r="W10" s="215"/>
      <c r="X10" s="215"/>
      <c r="Y10" s="215"/>
      <c r="Z10" s="216"/>
      <c r="AA10" s="216"/>
      <c r="AB10" s="216"/>
      <c r="AC10" s="216"/>
      <c r="AD10" s="216"/>
      <c r="AE10" s="216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</row>
    <row r="11" spans="1:59" s="12" customFormat="1" ht="18" customHeight="1" x14ac:dyDescent="0.25">
      <c r="A11" s="14"/>
      <c r="B11" s="219"/>
      <c r="C11" s="219"/>
      <c r="D11" s="219"/>
      <c r="E11" s="219"/>
      <c r="F11" s="219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1" t="s">
        <v>24</v>
      </c>
      <c r="V11" s="221"/>
      <c r="W11" s="221"/>
      <c r="X11" s="221" t="s">
        <v>25</v>
      </c>
      <c r="Y11" s="221"/>
      <c r="Z11" s="216"/>
      <c r="AA11" s="216"/>
      <c r="AB11" s="216"/>
      <c r="AC11" s="216"/>
      <c r="AD11" s="216"/>
      <c r="AE11" s="216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</row>
    <row r="12" spans="1:59" s="12" customFormat="1" ht="37.5" customHeight="1" x14ac:dyDescent="0.25">
      <c r="A12" s="15"/>
      <c r="B12" s="219"/>
      <c r="C12" s="219"/>
      <c r="D12" s="219"/>
      <c r="E12" s="219"/>
      <c r="F12" s="219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1"/>
      <c r="V12" s="221"/>
      <c r="W12" s="221"/>
      <c r="X12" s="221"/>
      <c r="Y12" s="221"/>
      <c r="Z12" s="220" t="s">
        <v>26</v>
      </c>
      <c r="AA12" s="220"/>
      <c r="AB12" s="220"/>
      <c r="AC12" s="220" t="s">
        <v>27</v>
      </c>
      <c r="AD12" s="220"/>
      <c r="AE12" s="13" t="s">
        <v>28</v>
      </c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</row>
    <row r="13" spans="1:59" s="12" customFormat="1" ht="24" customHeight="1" x14ac:dyDescent="0.25">
      <c r="A13" s="15"/>
      <c r="B13" s="208" t="s">
        <v>29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9"/>
      <c r="V13" s="209"/>
      <c r="W13" s="209"/>
      <c r="X13" s="209"/>
      <c r="Y13" s="209"/>
      <c r="Z13" s="210"/>
      <c r="AA13" s="210"/>
      <c r="AB13" s="210"/>
      <c r="AC13" s="210"/>
      <c r="AD13" s="210"/>
      <c r="AE13" s="16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  <c r="BC13" s="211"/>
      <c r="BD13" s="211"/>
      <c r="BE13" s="211"/>
      <c r="BF13" s="211"/>
      <c r="BG13" s="211"/>
    </row>
    <row r="14" spans="1:59" s="12" customFormat="1" ht="7.5" customHeight="1" x14ac:dyDescent="0.25">
      <c r="A14" s="15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</row>
    <row r="15" spans="1:59" ht="25.5" customHeight="1" x14ac:dyDescent="0.25">
      <c r="A15" s="17"/>
      <c r="B15" s="197" t="s">
        <v>30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</row>
    <row r="16" spans="1:59" ht="30.75" customHeight="1" x14ac:dyDescent="0.25">
      <c r="A16" s="18"/>
      <c r="B16" s="198" t="s">
        <v>31</v>
      </c>
      <c r="C16" s="198"/>
      <c r="D16" s="198"/>
      <c r="E16" s="198"/>
      <c r="F16" s="198"/>
      <c r="G16" s="198"/>
      <c r="H16" s="198"/>
      <c r="I16" s="198"/>
      <c r="J16" s="199" t="s">
        <v>32</v>
      </c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200" t="s">
        <v>33</v>
      </c>
      <c r="Z16" s="200"/>
      <c r="AA16" s="200"/>
      <c r="AB16" s="200"/>
      <c r="AC16" s="200"/>
      <c r="AD16" s="200"/>
      <c r="AE16" s="200"/>
      <c r="AF16" s="200"/>
      <c r="AG16" s="200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</row>
    <row r="17" spans="1:59" ht="25.5" customHeight="1" x14ac:dyDescent="0.25">
      <c r="A17" s="19"/>
      <c r="B17" s="202" t="s">
        <v>34</v>
      </c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3" t="s">
        <v>35</v>
      </c>
      <c r="AE17" s="203"/>
      <c r="AF17" s="203"/>
      <c r="AG17" s="203"/>
      <c r="AH17" s="203"/>
      <c r="AI17" s="203"/>
      <c r="AJ17" s="203"/>
      <c r="AK17" s="203"/>
      <c r="AL17" s="20"/>
      <c r="AM17" s="204" t="s">
        <v>36</v>
      </c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</row>
    <row r="18" spans="1:59" ht="18.75" customHeight="1" x14ac:dyDescent="0.25">
      <c r="A18" s="21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6"/>
      <c r="AE18" s="206"/>
      <c r="AF18" s="206"/>
      <c r="AG18" s="206"/>
      <c r="AH18" s="206"/>
      <c r="AI18" s="206"/>
      <c r="AJ18" s="206"/>
      <c r="AK18" s="206"/>
      <c r="AL18" s="206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</row>
    <row r="19" spans="1:59" ht="25.5" customHeight="1" x14ac:dyDescent="0.25">
      <c r="A19" s="22"/>
      <c r="B19" s="191" t="s">
        <v>37</v>
      </c>
      <c r="C19" s="191"/>
      <c r="D19" s="191"/>
      <c r="E19" s="191"/>
      <c r="F19" s="191"/>
      <c r="G19" s="192"/>
      <c r="H19" s="192"/>
      <c r="I19" s="192"/>
      <c r="J19" s="192"/>
      <c r="K19" s="192"/>
      <c r="L19" s="192"/>
      <c r="M19" s="192"/>
      <c r="N19" s="192"/>
      <c r="O19" s="193" t="s">
        <v>38</v>
      </c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4"/>
      <c r="AA19" s="194"/>
      <c r="AB19" s="194"/>
      <c r="AC19" s="194"/>
      <c r="AD19" s="193" t="s">
        <v>39</v>
      </c>
      <c r="AE19" s="193"/>
      <c r="AF19" s="193"/>
      <c r="AG19" s="193"/>
      <c r="AH19" s="193"/>
      <c r="AI19" s="194"/>
      <c r="AJ19" s="194"/>
      <c r="AK19" s="194"/>
      <c r="AL19" s="194"/>
      <c r="AM19" s="193" t="s">
        <v>40</v>
      </c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5" t="s">
        <v>53</v>
      </c>
      <c r="BB19" s="195"/>
      <c r="BC19" s="195"/>
      <c r="BD19" s="195"/>
      <c r="BE19" s="195"/>
      <c r="BF19" s="195"/>
      <c r="BG19" s="195"/>
    </row>
    <row r="20" spans="1:59" ht="21.75" customHeight="1" x14ac:dyDescent="0.25">
      <c r="A20" s="23"/>
      <c r="B20" s="196" t="s">
        <v>41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</row>
    <row r="21" spans="1:59" ht="7.5" customHeight="1" x14ac:dyDescent="0.25">
      <c r="A21" s="1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5"/>
      <c r="AP21" s="25"/>
      <c r="AQ21" s="25"/>
      <c r="AR21" s="25"/>
      <c r="AS21" s="25"/>
      <c r="AT21" s="25"/>
      <c r="AU21" s="25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6"/>
    </row>
    <row r="22" spans="1:59" ht="20.25" customHeight="1" x14ac:dyDescent="0.25">
      <c r="A22" s="27"/>
      <c r="B22" s="123" t="s">
        <v>42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</row>
    <row r="23" spans="1:59" s="29" customFormat="1" ht="23.25" customHeight="1" x14ac:dyDescent="0.2">
      <c r="A23" s="28"/>
      <c r="B23" s="178" t="s">
        <v>43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</row>
    <row r="24" spans="1:59" ht="69" customHeight="1" x14ac:dyDescent="0.25">
      <c r="A24" s="30"/>
      <c r="B24" s="179" t="s">
        <v>44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</row>
    <row r="25" spans="1:59" ht="22.5" customHeight="1" x14ac:dyDescent="0.25">
      <c r="A25" s="30"/>
      <c r="B25" s="178" t="s">
        <v>45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</row>
    <row r="26" spans="1:59" ht="22.5" customHeight="1" x14ac:dyDescent="0.25">
      <c r="A26" s="31"/>
      <c r="B26" s="180" t="s">
        <v>46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</row>
    <row r="27" spans="1:59" ht="20.25" customHeight="1" x14ac:dyDescent="0.25">
      <c r="A27" s="31"/>
      <c r="B27" s="181" t="s">
        <v>47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</row>
    <row r="28" spans="1:59" ht="24.75" customHeight="1" x14ac:dyDescent="0.25">
      <c r="A28" s="32"/>
      <c r="B28" s="182" t="s">
        <v>48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3" t="s">
        <v>49</v>
      </c>
      <c r="P28" s="183"/>
      <c r="Q28" s="183"/>
      <c r="R28" s="183"/>
      <c r="S28" s="183" t="s">
        <v>50</v>
      </c>
      <c r="T28" s="183"/>
      <c r="U28" s="183"/>
      <c r="V28" s="183"/>
      <c r="W28" s="184" t="s">
        <v>51</v>
      </c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3" t="s">
        <v>49</v>
      </c>
      <c r="AI28" s="183"/>
      <c r="AJ28" s="183"/>
      <c r="AK28" s="183"/>
      <c r="AL28" s="185" t="s">
        <v>52</v>
      </c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6" t="s">
        <v>50</v>
      </c>
      <c r="BF28" s="186"/>
      <c r="BG28" s="186"/>
    </row>
    <row r="29" spans="1:59" ht="24.75" customHeight="1" x14ac:dyDescent="0.25">
      <c r="A29" s="3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7"/>
      <c r="P29" s="187"/>
      <c r="Q29" s="187"/>
      <c r="R29" s="187"/>
      <c r="S29" s="188"/>
      <c r="T29" s="188"/>
      <c r="U29" s="188"/>
      <c r="V29" s="188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90" t="s">
        <v>53</v>
      </c>
      <c r="BF29" s="190"/>
      <c r="BG29" s="190"/>
    </row>
    <row r="30" spans="1:59" ht="18.75" customHeight="1" x14ac:dyDescent="0.25">
      <c r="A30" s="17"/>
      <c r="B30" s="173" t="s">
        <v>54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</row>
    <row r="31" spans="1:59" s="7" customFormat="1" ht="20.25" customHeight="1" x14ac:dyDescent="0.25">
      <c r="A31" s="33"/>
      <c r="B31" s="174" t="s">
        <v>55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5" t="s">
        <v>56</v>
      </c>
      <c r="Y31" s="175"/>
      <c r="Z31" s="175"/>
      <c r="AA31" s="175"/>
      <c r="AB31" s="175" t="s">
        <v>57</v>
      </c>
      <c r="AC31" s="175"/>
      <c r="AD31" s="175"/>
      <c r="AE31" s="175" t="s">
        <v>58</v>
      </c>
      <c r="AF31" s="175"/>
      <c r="AG31" s="175"/>
      <c r="AH31" s="175" t="s">
        <v>59</v>
      </c>
      <c r="AI31" s="175"/>
      <c r="AJ31" s="175"/>
      <c r="AK31" s="175"/>
      <c r="AL31" s="176" t="s">
        <v>60</v>
      </c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</row>
    <row r="32" spans="1:59" s="7" customFormat="1" ht="8.25" customHeight="1" x14ac:dyDescent="0.25">
      <c r="A32" s="33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 t="s">
        <v>61</v>
      </c>
      <c r="AM32" s="175"/>
      <c r="AN32" s="175" t="s">
        <v>62</v>
      </c>
      <c r="AO32" s="175"/>
      <c r="AP32" s="175"/>
      <c r="AQ32" s="175"/>
      <c r="AR32" s="175"/>
      <c r="AS32" s="175"/>
      <c r="AT32" s="175"/>
      <c r="AU32" s="175"/>
      <c r="AV32" s="175" t="s">
        <v>63</v>
      </c>
      <c r="AW32" s="175"/>
      <c r="AX32" s="175"/>
      <c r="AY32" s="175"/>
      <c r="AZ32" s="177" t="s">
        <v>64</v>
      </c>
      <c r="BA32" s="177"/>
      <c r="BB32" s="177"/>
      <c r="BC32" s="177"/>
      <c r="BD32" s="177"/>
      <c r="BE32" s="177"/>
      <c r="BF32" s="177"/>
      <c r="BG32" s="177"/>
    </row>
    <row r="33" spans="1:59" ht="31.5" customHeight="1" x14ac:dyDescent="0.25">
      <c r="A33" s="17"/>
      <c r="B33" s="168" t="s">
        <v>65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1"/>
      <c r="AW33" s="171"/>
      <c r="AX33" s="171"/>
      <c r="AY33" s="171"/>
      <c r="AZ33" s="172"/>
      <c r="BA33" s="172"/>
      <c r="BB33" s="172"/>
      <c r="BC33" s="172"/>
      <c r="BD33" s="172"/>
      <c r="BE33" s="172"/>
      <c r="BF33" s="172"/>
      <c r="BG33" s="172"/>
    </row>
    <row r="34" spans="1:59" ht="23.25" customHeight="1" x14ac:dyDescent="0.25">
      <c r="A34" s="17"/>
      <c r="B34" s="155" t="s">
        <v>66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6" t="s">
        <v>67</v>
      </c>
      <c r="M34" s="156"/>
      <c r="N34" s="156"/>
      <c r="O34" s="156"/>
      <c r="P34" s="156"/>
      <c r="Q34" s="156"/>
      <c r="R34" s="156"/>
      <c r="S34" s="156"/>
      <c r="T34" s="156"/>
      <c r="U34" s="157" t="s">
        <v>68</v>
      </c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</row>
    <row r="35" spans="1:59" ht="23.25" customHeight="1" x14ac:dyDescent="0.25">
      <c r="A35" s="1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9"/>
      <c r="M35" s="159"/>
      <c r="N35" s="159"/>
      <c r="O35" s="159"/>
      <c r="P35" s="159"/>
      <c r="Q35" s="159"/>
      <c r="R35" s="159"/>
      <c r="S35" s="159"/>
      <c r="T35" s="159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</row>
    <row r="36" spans="1:59" ht="20.25" customHeight="1" x14ac:dyDescent="0.25">
      <c r="A36" s="17"/>
      <c r="B36" s="161" t="s">
        <v>69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</row>
    <row r="37" spans="1:59" ht="22.5" customHeight="1" x14ac:dyDescent="0.25">
      <c r="A37" s="17"/>
      <c r="B37" s="162" t="s">
        <v>66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56" t="s">
        <v>67</v>
      </c>
      <c r="P37" s="156"/>
      <c r="Q37" s="156"/>
      <c r="R37" s="156"/>
      <c r="S37" s="156"/>
      <c r="T37" s="156"/>
      <c r="U37" s="163" t="s">
        <v>70</v>
      </c>
      <c r="V37" s="163"/>
      <c r="W37" s="163"/>
      <c r="X37" s="163"/>
      <c r="Y37" s="163"/>
      <c r="Z37" s="163"/>
      <c r="AA37" s="163"/>
      <c r="AB37" s="163"/>
      <c r="AC37" s="163"/>
      <c r="AD37" s="163"/>
      <c r="AE37" s="164" t="s">
        <v>71</v>
      </c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</row>
    <row r="38" spans="1:59" ht="18" customHeight="1" x14ac:dyDescent="0.25">
      <c r="A38" s="17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56"/>
      <c r="P38" s="156"/>
      <c r="Q38" s="156"/>
      <c r="R38" s="156"/>
      <c r="S38" s="156"/>
      <c r="T38" s="156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34" t="s">
        <v>61</v>
      </c>
      <c r="AF38" s="165" t="s">
        <v>62</v>
      </c>
      <c r="AG38" s="165"/>
      <c r="AH38" s="165"/>
      <c r="AI38" s="165"/>
      <c r="AJ38" s="165"/>
      <c r="AK38" s="165"/>
      <c r="AL38" s="165"/>
      <c r="AM38" s="165"/>
      <c r="AN38" s="165"/>
      <c r="AO38" s="165"/>
      <c r="AP38" s="166" t="s">
        <v>72</v>
      </c>
      <c r="AQ38" s="166"/>
      <c r="AR38" s="166"/>
      <c r="AS38" s="166"/>
      <c r="AT38" s="166"/>
      <c r="AU38" s="166"/>
      <c r="AV38" s="166"/>
      <c r="AW38" s="166"/>
      <c r="AX38" s="166"/>
      <c r="AY38" s="167" t="s">
        <v>64</v>
      </c>
      <c r="AZ38" s="167"/>
      <c r="BA38" s="167"/>
      <c r="BB38" s="167"/>
      <c r="BC38" s="167"/>
      <c r="BD38" s="167"/>
      <c r="BE38" s="167"/>
      <c r="BF38" s="167"/>
      <c r="BG38" s="167"/>
    </row>
    <row r="39" spans="1:59" ht="21.75" customHeight="1" x14ac:dyDescent="0.25">
      <c r="A39" s="17"/>
      <c r="B39" s="144" t="s">
        <v>73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5"/>
      <c r="P39" s="145"/>
      <c r="Q39" s="145"/>
      <c r="R39" s="145"/>
      <c r="S39" s="145"/>
      <c r="T39" s="145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35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8"/>
      <c r="AQ39" s="148"/>
      <c r="AR39" s="148"/>
      <c r="AS39" s="148"/>
      <c r="AT39" s="148"/>
      <c r="AU39" s="148"/>
      <c r="AV39" s="148"/>
      <c r="AW39" s="148"/>
      <c r="AX39" s="148"/>
      <c r="AY39" s="149"/>
      <c r="AZ39" s="149"/>
      <c r="BA39" s="149"/>
      <c r="BB39" s="149"/>
      <c r="BC39" s="149"/>
      <c r="BD39" s="149"/>
      <c r="BE39" s="149"/>
      <c r="BF39" s="149"/>
      <c r="BG39" s="149"/>
    </row>
    <row r="40" spans="1:59" ht="21" customHeight="1" x14ac:dyDescent="0.25">
      <c r="A40" s="17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  <c r="P40" s="151"/>
      <c r="Q40" s="151"/>
      <c r="R40" s="151"/>
      <c r="S40" s="151"/>
      <c r="T40" s="151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36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53"/>
      <c r="AQ40" s="153"/>
      <c r="AR40" s="153"/>
      <c r="AS40" s="153"/>
      <c r="AT40" s="153"/>
      <c r="AU40" s="153"/>
      <c r="AV40" s="153"/>
      <c r="AW40" s="153"/>
      <c r="AX40" s="153"/>
      <c r="AY40" s="154"/>
      <c r="AZ40" s="154"/>
      <c r="BA40" s="154"/>
      <c r="BB40" s="154"/>
      <c r="BC40" s="154"/>
      <c r="BD40" s="154"/>
      <c r="BE40" s="154"/>
      <c r="BF40" s="154"/>
      <c r="BG40" s="154"/>
    </row>
    <row r="41" spans="1:59" ht="18.75" customHeight="1" x14ac:dyDescent="0.25">
      <c r="A41" s="17"/>
      <c r="B41" s="136" t="s">
        <v>74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7" t="s">
        <v>75</v>
      </c>
      <c r="AF41" s="137"/>
      <c r="AG41" s="137"/>
      <c r="AH41" s="137"/>
      <c r="AI41" s="137"/>
      <c r="AJ41" s="137"/>
      <c r="AK41" s="137"/>
      <c r="AL41" s="137"/>
      <c r="AM41" s="137"/>
      <c r="AN41" s="137"/>
      <c r="AO41" s="138" t="s">
        <v>76</v>
      </c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</row>
    <row r="42" spans="1:59" ht="46.5" customHeight="1" x14ac:dyDescent="0.25">
      <c r="A42" s="17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40" t="s">
        <v>77</v>
      </c>
      <c r="O42" s="140"/>
      <c r="P42" s="140"/>
      <c r="Q42" s="140"/>
      <c r="R42" s="140"/>
      <c r="S42" s="140" t="s">
        <v>78</v>
      </c>
      <c r="T42" s="140"/>
      <c r="U42" s="140"/>
      <c r="V42" s="140"/>
      <c r="W42" s="140"/>
      <c r="X42" s="140" t="s">
        <v>79</v>
      </c>
      <c r="Y42" s="140"/>
      <c r="Z42" s="140"/>
      <c r="AA42" s="140"/>
      <c r="AB42" s="140" t="s">
        <v>80</v>
      </c>
      <c r="AC42" s="140"/>
      <c r="AD42" s="140"/>
      <c r="AE42" s="130" t="s">
        <v>81</v>
      </c>
      <c r="AF42" s="130"/>
      <c r="AG42" s="130"/>
      <c r="AH42" s="130"/>
      <c r="AI42" s="140" t="s">
        <v>82</v>
      </c>
      <c r="AJ42" s="140"/>
      <c r="AK42" s="140"/>
      <c r="AL42" s="140" t="s">
        <v>83</v>
      </c>
      <c r="AM42" s="140"/>
      <c r="AN42" s="140"/>
      <c r="AO42" s="130" t="s">
        <v>84</v>
      </c>
      <c r="AP42" s="130"/>
      <c r="AQ42" s="130"/>
      <c r="AR42" s="130"/>
      <c r="AS42" s="130"/>
      <c r="AT42" s="130"/>
      <c r="AU42" s="140" t="s">
        <v>85</v>
      </c>
      <c r="AV42" s="140"/>
      <c r="AW42" s="140"/>
      <c r="AX42" s="140"/>
      <c r="AY42" s="140"/>
      <c r="AZ42" s="140"/>
      <c r="BA42" s="140"/>
      <c r="BB42" s="140"/>
      <c r="BC42" s="141" t="s">
        <v>86</v>
      </c>
      <c r="BD42" s="141"/>
      <c r="BE42" s="141"/>
      <c r="BF42" s="141"/>
      <c r="BG42" s="141"/>
    </row>
    <row r="43" spans="1:59" ht="36" customHeight="1" x14ac:dyDescent="0.25">
      <c r="A43" s="37"/>
      <c r="B43" s="142" t="s">
        <v>87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2"/>
      <c r="Y43" s="132"/>
      <c r="Z43" s="132"/>
      <c r="AA43" s="132"/>
      <c r="AB43" s="133"/>
      <c r="AC43" s="133"/>
      <c r="AD43" s="133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43"/>
      <c r="BD43" s="143"/>
      <c r="BE43" s="143"/>
      <c r="BF43" s="143"/>
      <c r="BG43" s="143"/>
    </row>
    <row r="44" spans="1:59" ht="21.75" customHeight="1" x14ac:dyDescent="0.25">
      <c r="A44" s="38"/>
      <c r="B44" s="142" t="s">
        <v>88</v>
      </c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30"/>
      <c r="O44" s="130"/>
      <c r="P44" s="130"/>
      <c r="Q44" s="130"/>
      <c r="R44" s="130"/>
      <c r="S44" s="131"/>
      <c r="T44" s="131"/>
      <c r="U44" s="131"/>
      <c r="V44" s="131"/>
      <c r="W44" s="131"/>
      <c r="X44" s="132"/>
      <c r="Y44" s="132"/>
      <c r="Z44" s="132"/>
      <c r="AA44" s="132"/>
      <c r="AB44" s="133"/>
      <c r="AC44" s="133"/>
      <c r="AD44" s="133"/>
      <c r="AE44" s="130"/>
      <c r="AF44" s="130"/>
      <c r="AG44" s="130"/>
      <c r="AH44" s="130"/>
      <c r="AI44" s="130"/>
      <c r="AJ44" s="130"/>
      <c r="AK44" s="130"/>
      <c r="AL44" s="131"/>
      <c r="AM44" s="131"/>
      <c r="AN44" s="131"/>
      <c r="AO44" s="130"/>
      <c r="AP44" s="130"/>
      <c r="AQ44" s="130"/>
      <c r="AR44" s="130"/>
      <c r="AS44" s="130"/>
      <c r="AT44" s="130"/>
      <c r="AU44" s="131"/>
      <c r="AV44" s="131"/>
      <c r="AW44" s="131"/>
      <c r="AX44" s="131"/>
      <c r="AY44" s="131"/>
      <c r="AZ44" s="131"/>
      <c r="BA44" s="131"/>
      <c r="BB44" s="131"/>
      <c r="BC44" s="134"/>
      <c r="BD44" s="134"/>
      <c r="BE44" s="134"/>
      <c r="BF44" s="134"/>
      <c r="BG44" s="134"/>
    </row>
    <row r="45" spans="1:59" ht="27" customHeight="1" x14ac:dyDescent="0.25">
      <c r="A45" s="38"/>
      <c r="B45" s="135" t="s">
        <v>89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2"/>
      <c r="Y45" s="132"/>
      <c r="Z45" s="132"/>
      <c r="AA45" s="132"/>
      <c r="AB45" s="133"/>
      <c r="AC45" s="133"/>
      <c r="AD45" s="133"/>
      <c r="AE45" s="130"/>
      <c r="AF45" s="130"/>
      <c r="AG45" s="130"/>
      <c r="AH45" s="130"/>
      <c r="AI45" s="130"/>
      <c r="AJ45" s="130"/>
      <c r="AK45" s="130"/>
      <c r="AL45" s="131"/>
      <c r="AM45" s="131"/>
      <c r="AN45" s="131"/>
      <c r="AO45" s="130"/>
      <c r="AP45" s="130"/>
      <c r="AQ45" s="130"/>
      <c r="AR45" s="130"/>
      <c r="AS45" s="130"/>
      <c r="AT45" s="130"/>
      <c r="AU45" s="131"/>
      <c r="AV45" s="131"/>
      <c r="AW45" s="131"/>
      <c r="AX45" s="131"/>
      <c r="AY45" s="131"/>
      <c r="AZ45" s="131"/>
      <c r="BA45" s="131"/>
      <c r="BB45" s="131"/>
      <c r="BC45" s="134"/>
      <c r="BD45" s="134"/>
      <c r="BE45" s="134"/>
      <c r="BF45" s="134"/>
      <c r="BG45" s="134"/>
    </row>
    <row r="46" spans="1:59" ht="17.25" customHeight="1" x14ac:dyDescent="0.25">
      <c r="A46" s="38"/>
      <c r="B46" s="121" t="s">
        <v>90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</row>
    <row r="47" spans="1:59" ht="12.75" customHeight="1" x14ac:dyDescent="0.25">
      <c r="A47" s="38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</row>
    <row r="48" spans="1:59" ht="17.25" customHeight="1" x14ac:dyDescent="0.25">
      <c r="A48" s="38"/>
      <c r="B48" s="123" t="s">
        <v>91</v>
      </c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</row>
    <row r="49" spans="1:59" ht="60" customHeight="1" x14ac:dyDescent="0.25">
      <c r="A49" s="38"/>
      <c r="B49" s="124" t="s">
        <v>332</v>
      </c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</row>
    <row r="50" spans="1:59" ht="15" customHeight="1" x14ac:dyDescent="0.25">
      <c r="A50" s="38"/>
      <c r="B50" s="125" t="s">
        <v>92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</row>
    <row r="51" spans="1:59" ht="40.5" customHeight="1" x14ac:dyDescent="0.25">
      <c r="A51" s="27"/>
      <c r="B51" s="126" t="s">
        <v>93</v>
      </c>
      <c r="C51" s="126"/>
      <c r="D51" s="126"/>
      <c r="E51" s="126"/>
      <c r="F51" s="126"/>
      <c r="G51" s="126"/>
      <c r="H51" s="126"/>
      <c r="I51" s="127" t="s">
        <v>94</v>
      </c>
      <c r="J51" s="127"/>
      <c r="K51" s="127"/>
      <c r="L51" s="127"/>
      <c r="M51" s="127"/>
      <c r="N51" s="127"/>
      <c r="O51" s="127"/>
      <c r="P51" s="128" t="s">
        <v>95</v>
      </c>
      <c r="Q51" s="128"/>
      <c r="R51" s="128"/>
      <c r="S51" s="128"/>
      <c r="T51" s="128"/>
      <c r="U51" s="128"/>
      <c r="V51" s="128"/>
      <c r="W51" s="127" t="s">
        <v>96</v>
      </c>
      <c r="X51" s="127"/>
      <c r="Y51" s="127"/>
      <c r="Z51" s="127"/>
      <c r="AA51" s="127"/>
      <c r="AB51" s="127"/>
      <c r="AC51" s="127" t="s">
        <v>97</v>
      </c>
      <c r="AD51" s="127"/>
      <c r="AE51" s="127"/>
      <c r="AF51" s="127"/>
      <c r="AG51" s="127" t="s">
        <v>98</v>
      </c>
      <c r="AH51" s="127"/>
      <c r="AI51" s="127" t="s">
        <v>99</v>
      </c>
      <c r="AJ51" s="127"/>
      <c r="AK51" s="127"/>
      <c r="AL51" s="127"/>
      <c r="AM51" s="127" t="s">
        <v>100</v>
      </c>
      <c r="AN51" s="127"/>
      <c r="AO51" s="127"/>
      <c r="AP51" s="127"/>
      <c r="AQ51" s="127"/>
      <c r="AR51" s="127"/>
      <c r="AS51" s="129" t="s">
        <v>101</v>
      </c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</row>
    <row r="52" spans="1:59" s="40" customFormat="1" ht="30" customHeight="1" x14ac:dyDescent="0.25">
      <c r="A52" s="39"/>
      <c r="B52" s="114"/>
      <c r="C52" s="114"/>
      <c r="D52" s="114"/>
      <c r="E52" s="114"/>
      <c r="F52" s="114"/>
      <c r="G52" s="114"/>
      <c r="H52" s="114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6"/>
      <c r="X52" s="116"/>
      <c r="Y52" s="116"/>
      <c r="Z52" s="116"/>
      <c r="AA52" s="116"/>
      <c r="AB52" s="116"/>
      <c r="AC52" s="117"/>
      <c r="AD52" s="117"/>
      <c r="AE52" s="117"/>
      <c r="AF52" s="117"/>
      <c r="AG52" s="118"/>
      <c r="AH52" s="118"/>
      <c r="AI52" s="117"/>
      <c r="AJ52" s="117"/>
      <c r="AK52" s="117"/>
      <c r="AL52" s="117"/>
      <c r="AM52" s="119"/>
      <c r="AN52" s="119"/>
      <c r="AO52" s="119"/>
      <c r="AP52" s="119"/>
      <c r="AQ52" s="119"/>
      <c r="AR52" s="119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</row>
    <row r="53" spans="1:59" ht="6.75" customHeight="1" x14ac:dyDescent="0.25"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</row>
    <row r="54" spans="1:59" ht="19.5" customHeight="1" x14ac:dyDescent="0.25">
      <c r="A54" s="41"/>
      <c r="B54" s="110" t="s">
        <v>102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</row>
    <row r="55" spans="1:59" ht="23.25" customHeight="1" x14ac:dyDescent="0.25">
      <c r="A55" s="41"/>
      <c r="B55" s="111" t="s">
        <v>103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</row>
    <row r="56" spans="1:59" ht="24.75" customHeight="1" x14ac:dyDescent="0.25">
      <c r="A56" s="42"/>
      <c r="B56" s="112" t="s">
        <v>104</v>
      </c>
      <c r="C56" s="94" t="s">
        <v>105</v>
      </c>
      <c r="D56" s="94"/>
      <c r="E56" s="94"/>
      <c r="F56" s="94"/>
      <c r="G56" s="94"/>
      <c r="H56" s="113"/>
      <c r="I56" s="113"/>
      <c r="J56" s="99" t="s">
        <v>106</v>
      </c>
      <c r="K56" s="99"/>
      <c r="L56" s="99"/>
      <c r="M56" s="94" t="s">
        <v>107</v>
      </c>
      <c r="N56" s="94"/>
      <c r="O56" s="94"/>
      <c r="P56" s="94"/>
      <c r="Q56" s="94"/>
      <c r="R56" s="94"/>
      <c r="S56" s="94"/>
      <c r="T56" s="93"/>
      <c r="U56" s="93"/>
      <c r="V56" s="101" t="s">
        <v>108</v>
      </c>
      <c r="W56" s="101"/>
      <c r="X56" s="94" t="s">
        <v>109</v>
      </c>
      <c r="Y56" s="94"/>
      <c r="Z56" s="94"/>
      <c r="AA56" s="94"/>
      <c r="AB56" s="94"/>
      <c r="AC56" s="44"/>
      <c r="AD56" s="99" t="s">
        <v>110</v>
      </c>
      <c r="AE56" s="99"/>
      <c r="AF56" s="99"/>
      <c r="AG56" s="105" t="s">
        <v>111</v>
      </c>
      <c r="AH56" s="105"/>
      <c r="AI56" s="105"/>
      <c r="AJ56" s="45"/>
      <c r="AK56" s="99" t="s">
        <v>112</v>
      </c>
      <c r="AL56" s="99"/>
      <c r="AM56" s="94" t="s">
        <v>113</v>
      </c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5"/>
      <c r="BG56" s="95"/>
    </row>
    <row r="57" spans="1:59" ht="14.25" customHeight="1" x14ac:dyDescent="0.25">
      <c r="A57" s="42"/>
      <c r="B57" s="112"/>
      <c r="C57" s="94"/>
      <c r="D57" s="94"/>
      <c r="E57" s="94"/>
      <c r="F57" s="94"/>
      <c r="G57" s="94"/>
      <c r="H57" s="113"/>
      <c r="I57" s="113"/>
      <c r="J57" s="99"/>
      <c r="K57" s="99"/>
      <c r="L57" s="99"/>
      <c r="M57" s="94" t="s">
        <v>114</v>
      </c>
      <c r="N57" s="94"/>
      <c r="O57" s="94"/>
      <c r="P57" s="94"/>
      <c r="Q57" s="94"/>
      <c r="R57" s="94"/>
      <c r="S57" s="94"/>
      <c r="T57" s="93"/>
      <c r="U57" s="93"/>
      <c r="V57" s="101"/>
      <c r="W57" s="101"/>
      <c r="X57" s="94" t="s">
        <v>115</v>
      </c>
      <c r="Y57" s="94"/>
      <c r="Z57" s="94"/>
      <c r="AA57" s="94"/>
      <c r="AB57" s="94"/>
      <c r="AC57" s="100"/>
      <c r="AD57" s="99"/>
      <c r="AE57" s="99"/>
      <c r="AF57" s="99"/>
      <c r="AG57" s="94" t="s">
        <v>116</v>
      </c>
      <c r="AH57" s="94"/>
      <c r="AI57" s="94"/>
      <c r="AJ57" s="45"/>
      <c r="AK57" s="99"/>
      <c r="AL57" s="99"/>
      <c r="AM57" s="94" t="s">
        <v>117</v>
      </c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5"/>
      <c r="BG57" s="95"/>
    </row>
    <row r="58" spans="1:59" ht="14.25" customHeight="1" x14ac:dyDescent="0.25">
      <c r="A58" s="42"/>
      <c r="B58" s="112"/>
      <c r="C58" s="94" t="s">
        <v>118</v>
      </c>
      <c r="D58" s="94"/>
      <c r="E58" s="94"/>
      <c r="F58" s="94"/>
      <c r="G58" s="94"/>
      <c r="H58" s="107"/>
      <c r="I58" s="107"/>
      <c r="J58" s="99"/>
      <c r="K58" s="99"/>
      <c r="L58" s="99"/>
      <c r="M58" s="94"/>
      <c r="N58" s="94"/>
      <c r="O58" s="94"/>
      <c r="P58" s="94"/>
      <c r="Q58" s="94"/>
      <c r="R58" s="94"/>
      <c r="S58" s="94"/>
      <c r="T58" s="93"/>
      <c r="U58" s="93"/>
      <c r="V58" s="101"/>
      <c r="W58" s="101"/>
      <c r="X58" s="94"/>
      <c r="Y58" s="94"/>
      <c r="Z58" s="94"/>
      <c r="AA58" s="94"/>
      <c r="AB58" s="94"/>
      <c r="AC58" s="100"/>
      <c r="AD58" s="99"/>
      <c r="AE58" s="99"/>
      <c r="AF58" s="99"/>
      <c r="AG58" s="94" t="s">
        <v>119</v>
      </c>
      <c r="AH58" s="94"/>
      <c r="AI58" s="94"/>
      <c r="AJ58" s="45"/>
      <c r="AK58" s="99"/>
      <c r="AL58" s="99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47"/>
      <c r="BG58" s="46"/>
    </row>
    <row r="59" spans="1:59" ht="13.5" customHeight="1" x14ac:dyDescent="0.25">
      <c r="A59" s="48"/>
      <c r="B59" s="112"/>
      <c r="C59" s="94"/>
      <c r="D59" s="94"/>
      <c r="E59" s="94"/>
      <c r="F59" s="94"/>
      <c r="G59" s="94"/>
      <c r="H59" s="107"/>
      <c r="I59" s="107"/>
      <c r="J59" s="99"/>
      <c r="K59" s="99"/>
      <c r="L59" s="99"/>
      <c r="M59" s="94" t="s">
        <v>120</v>
      </c>
      <c r="N59" s="94"/>
      <c r="O59" s="94"/>
      <c r="P59" s="94"/>
      <c r="Q59" s="94"/>
      <c r="R59" s="94"/>
      <c r="S59" s="94"/>
      <c r="T59" s="93"/>
      <c r="U59" s="93"/>
      <c r="V59" s="101"/>
      <c r="W59" s="101"/>
      <c r="X59" s="94" t="s">
        <v>121</v>
      </c>
      <c r="Y59" s="94"/>
      <c r="Z59" s="94"/>
      <c r="AA59" s="94"/>
      <c r="AB59" s="94"/>
      <c r="AC59" s="44"/>
      <c r="AD59" s="108" t="s">
        <v>122</v>
      </c>
      <c r="AE59" s="108"/>
      <c r="AF59" s="108"/>
      <c r="AG59" s="94" t="s">
        <v>123</v>
      </c>
      <c r="AH59" s="94"/>
      <c r="AI59" s="94"/>
      <c r="AJ59" s="45"/>
      <c r="AK59" s="99" t="s">
        <v>124</v>
      </c>
      <c r="AL59" s="99"/>
      <c r="AM59" s="94" t="s">
        <v>125</v>
      </c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5"/>
      <c r="BG59" s="95"/>
    </row>
    <row r="60" spans="1:59" ht="12.75" customHeight="1" x14ac:dyDescent="0.25">
      <c r="A60" s="42"/>
      <c r="B60" s="104" t="s">
        <v>126</v>
      </c>
      <c r="C60" s="94" t="s">
        <v>127</v>
      </c>
      <c r="D60" s="94"/>
      <c r="E60" s="94"/>
      <c r="F60" s="94"/>
      <c r="G60" s="94"/>
      <c r="H60" s="100"/>
      <c r="I60" s="100"/>
      <c r="J60" s="99" t="s">
        <v>128</v>
      </c>
      <c r="K60" s="99"/>
      <c r="L60" s="99"/>
      <c r="M60" s="94" t="s">
        <v>129</v>
      </c>
      <c r="N60" s="94"/>
      <c r="O60" s="94"/>
      <c r="P60" s="94"/>
      <c r="Q60" s="94"/>
      <c r="R60" s="94"/>
      <c r="S60" s="94"/>
      <c r="T60" s="93"/>
      <c r="U60" s="93"/>
      <c r="V60" s="101"/>
      <c r="W60" s="101"/>
      <c r="X60" s="105" t="s">
        <v>130</v>
      </c>
      <c r="Y60" s="105"/>
      <c r="Z60" s="105"/>
      <c r="AA60" s="105"/>
      <c r="AB60" s="105"/>
      <c r="AC60" s="44"/>
      <c r="AD60" s="108"/>
      <c r="AE60" s="108"/>
      <c r="AF60" s="108"/>
      <c r="AG60" s="94" t="s">
        <v>131</v>
      </c>
      <c r="AH60" s="94"/>
      <c r="AI60" s="94"/>
      <c r="AJ60" s="45"/>
      <c r="AK60" s="99"/>
      <c r="AL60" s="99"/>
      <c r="AM60" s="94" t="s">
        <v>132</v>
      </c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5"/>
      <c r="BG60" s="95"/>
    </row>
    <row r="61" spans="1:59" ht="14.25" customHeight="1" x14ac:dyDescent="0.25">
      <c r="A61" s="42"/>
      <c r="B61" s="104"/>
      <c r="C61" s="94" t="s">
        <v>133</v>
      </c>
      <c r="D61" s="94"/>
      <c r="E61" s="94"/>
      <c r="F61" s="94"/>
      <c r="G61" s="94"/>
      <c r="H61" s="100"/>
      <c r="I61" s="100"/>
      <c r="J61" s="99"/>
      <c r="K61" s="99"/>
      <c r="L61" s="99"/>
      <c r="M61" s="94" t="s">
        <v>134</v>
      </c>
      <c r="N61" s="94"/>
      <c r="O61" s="94"/>
      <c r="P61" s="94"/>
      <c r="Q61" s="94"/>
      <c r="R61" s="94"/>
      <c r="S61" s="94"/>
      <c r="T61" s="93"/>
      <c r="U61" s="93"/>
      <c r="V61" s="106" t="s">
        <v>135</v>
      </c>
      <c r="W61" s="106"/>
      <c r="X61" s="105" t="s">
        <v>136</v>
      </c>
      <c r="Y61" s="105"/>
      <c r="Z61" s="105"/>
      <c r="AA61" s="105"/>
      <c r="AB61" s="105"/>
      <c r="AC61" s="44"/>
      <c r="AD61" s="99" t="s">
        <v>137</v>
      </c>
      <c r="AE61" s="99"/>
      <c r="AF61" s="99"/>
      <c r="AG61" s="94" t="s">
        <v>138</v>
      </c>
      <c r="AH61" s="94"/>
      <c r="AI61" s="94"/>
      <c r="AJ61" s="93"/>
      <c r="AK61" s="99"/>
      <c r="AL61" s="99"/>
      <c r="AM61" s="94" t="s">
        <v>139</v>
      </c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5"/>
      <c r="BG61" s="95"/>
    </row>
    <row r="62" spans="1:59" ht="30.75" customHeight="1" x14ac:dyDescent="0.25">
      <c r="A62" s="42"/>
      <c r="B62" s="104"/>
      <c r="C62" s="94" t="s">
        <v>140</v>
      </c>
      <c r="D62" s="94"/>
      <c r="E62" s="94"/>
      <c r="F62" s="94"/>
      <c r="G62" s="94"/>
      <c r="H62" s="100"/>
      <c r="I62" s="100"/>
      <c r="J62" s="99"/>
      <c r="K62" s="99"/>
      <c r="L62" s="99"/>
      <c r="M62" s="94" t="s">
        <v>141</v>
      </c>
      <c r="N62" s="94"/>
      <c r="O62" s="94"/>
      <c r="P62" s="94"/>
      <c r="Q62" s="94"/>
      <c r="R62" s="94"/>
      <c r="S62" s="94"/>
      <c r="T62" s="93"/>
      <c r="U62" s="93"/>
      <c r="V62" s="106"/>
      <c r="W62" s="106"/>
      <c r="X62" s="94" t="s">
        <v>142</v>
      </c>
      <c r="Y62" s="94"/>
      <c r="Z62" s="94"/>
      <c r="AA62" s="94"/>
      <c r="AB62" s="94"/>
      <c r="AC62" s="44"/>
      <c r="AD62" s="99"/>
      <c r="AE62" s="99"/>
      <c r="AF62" s="99"/>
      <c r="AG62" s="94"/>
      <c r="AH62" s="94"/>
      <c r="AI62" s="94"/>
      <c r="AJ62" s="93"/>
      <c r="AK62" s="99" t="s">
        <v>143</v>
      </c>
      <c r="AL62" s="99"/>
      <c r="AM62" s="94" t="s">
        <v>144</v>
      </c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5"/>
      <c r="BG62" s="95"/>
    </row>
    <row r="63" spans="1:59" ht="30.75" customHeight="1" x14ac:dyDescent="0.25">
      <c r="A63" s="42"/>
      <c r="B63" s="104"/>
      <c r="C63" s="94" t="s">
        <v>145</v>
      </c>
      <c r="D63" s="94"/>
      <c r="E63" s="94"/>
      <c r="F63" s="94"/>
      <c r="G63" s="94"/>
      <c r="H63" s="100"/>
      <c r="I63" s="100"/>
      <c r="J63" s="99"/>
      <c r="K63" s="99"/>
      <c r="L63" s="99"/>
      <c r="M63" s="94" t="s">
        <v>146</v>
      </c>
      <c r="N63" s="94"/>
      <c r="O63" s="94"/>
      <c r="P63" s="94"/>
      <c r="Q63" s="94"/>
      <c r="R63" s="94"/>
      <c r="S63" s="94"/>
      <c r="T63" s="93"/>
      <c r="U63" s="93"/>
      <c r="V63" s="101" t="s">
        <v>147</v>
      </c>
      <c r="W63" s="101"/>
      <c r="X63" s="94" t="s">
        <v>148</v>
      </c>
      <c r="Y63" s="94"/>
      <c r="Z63" s="94"/>
      <c r="AA63" s="94"/>
      <c r="AB63" s="94"/>
      <c r="AC63" s="102"/>
      <c r="AD63" s="99"/>
      <c r="AE63" s="99"/>
      <c r="AF63" s="99"/>
      <c r="AG63" s="94" t="s">
        <v>149</v>
      </c>
      <c r="AH63" s="94"/>
      <c r="AI63" s="94"/>
      <c r="AJ63" s="93"/>
      <c r="AK63" s="99"/>
      <c r="AL63" s="99"/>
      <c r="AM63" s="94" t="s">
        <v>150</v>
      </c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103"/>
      <c r="BG63" s="103"/>
    </row>
    <row r="64" spans="1:59" ht="21.75" customHeight="1" x14ac:dyDescent="0.25">
      <c r="A64" s="17"/>
      <c r="B64" s="104"/>
      <c r="C64" s="94"/>
      <c r="D64" s="94"/>
      <c r="E64" s="94"/>
      <c r="F64" s="94"/>
      <c r="G64" s="94"/>
      <c r="H64" s="100"/>
      <c r="I64" s="100"/>
      <c r="J64" s="99"/>
      <c r="K64" s="99"/>
      <c r="L64" s="99"/>
      <c r="M64" s="94"/>
      <c r="N64" s="94"/>
      <c r="O64" s="94"/>
      <c r="P64" s="94"/>
      <c r="Q64" s="94"/>
      <c r="R64" s="94"/>
      <c r="S64" s="94"/>
      <c r="T64" s="93"/>
      <c r="U64" s="93"/>
      <c r="V64" s="101"/>
      <c r="W64" s="101"/>
      <c r="X64" s="94"/>
      <c r="Y64" s="94"/>
      <c r="Z64" s="94"/>
      <c r="AA64" s="94"/>
      <c r="AB64" s="94"/>
      <c r="AC64" s="102"/>
      <c r="AD64" s="99"/>
      <c r="AE64" s="99"/>
      <c r="AF64" s="99"/>
      <c r="AG64" s="94"/>
      <c r="AH64" s="94"/>
      <c r="AI64" s="94"/>
      <c r="AJ64" s="93"/>
      <c r="AK64" s="99"/>
      <c r="AL64" s="99"/>
      <c r="AM64" s="94" t="s">
        <v>151</v>
      </c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5"/>
      <c r="BG64" s="95"/>
    </row>
    <row r="65" spans="1:59" ht="24" customHeight="1" x14ac:dyDescent="0.25">
      <c r="A65" s="17"/>
      <c r="B65" s="104"/>
      <c r="C65" s="94" t="s">
        <v>152</v>
      </c>
      <c r="D65" s="94"/>
      <c r="E65" s="94"/>
      <c r="F65" s="94"/>
      <c r="G65" s="94"/>
      <c r="H65" s="100"/>
      <c r="I65" s="100"/>
      <c r="J65" s="99"/>
      <c r="K65" s="99"/>
      <c r="L65" s="99"/>
      <c r="M65" s="94" t="s">
        <v>153</v>
      </c>
      <c r="N65" s="94"/>
      <c r="O65" s="94"/>
      <c r="P65" s="94"/>
      <c r="Q65" s="94"/>
      <c r="R65" s="94"/>
      <c r="S65" s="94"/>
      <c r="T65" s="93"/>
      <c r="U65" s="93"/>
      <c r="V65" s="101"/>
      <c r="W65" s="101"/>
      <c r="X65" s="94"/>
      <c r="Y65" s="94"/>
      <c r="Z65" s="94"/>
      <c r="AA65" s="94"/>
      <c r="AB65" s="94"/>
      <c r="AC65" s="102"/>
      <c r="AD65" s="99"/>
      <c r="AE65" s="99"/>
      <c r="AF65" s="99"/>
      <c r="AG65" s="94" t="s">
        <v>154</v>
      </c>
      <c r="AH65" s="94"/>
      <c r="AI65" s="94"/>
      <c r="AJ65" s="93"/>
      <c r="AK65" s="99"/>
      <c r="AL65" s="99"/>
      <c r="AM65" s="94" t="s">
        <v>155</v>
      </c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5"/>
      <c r="BG65" s="95"/>
    </row>
    <row r="66" spans="1:59" ht="27.75" hidden="1" customHeight="1" x14ac:dyDescent="0.25">
      <c r="A66" s="17"/>
      <c r="B66" s="104"/>
      <c r="C66" s="94"/>
      <c r="D66" s="94"/>
      <c r="E66" s="94"/>
      <c r="F66" s="94"/>
      <c r="G66" s="94"/>
      <c r="H66" s="100"/>
      <c r="I66" s="100"/>
      <c r="J66" s="99"/>
      <c r="K66" s="99"/>
      <c r="L66" s="99"/>
      <c r="M66" s="43"/>
      <c r="N66" s="43"/>
      <c r="O66" s="43"/>
      <c r="P66" s="43"/>
      <c r="Q66" s="43"/>
      <c r="R66" s="43"/>
      <c r="S66" s="43"/>
      <c r="T66" s="93"/>
      <c r="U66" s="93"/>
      <c r="V66" s="101"/>
      <c r="W66" s="101"/>
      <c r="X66" s="94" t="s">
        <v>116</v>
      </c>
      <c r="Y66" s="94"/>
      <c r="Z66" s="94"/>
      <c r="AA66" s="94"/>
      <c r="AB66" s="49"/>
      <c r="AC66" s="44"/>
      <c r="AD66" s="99"/>
      <c r="AE66" s="99"/>
      <c r="AF66" s="99"/>
      <c r="AG66" s="49"/>
      <c r="AH66" s="49"/>
      <c r="AI66" s="49"/>
      <c r="AJ66" s="93"/>
      <c r="AK66" s="99"/>
      <c r="AL66" s="99"/>
      <c r="AM66" s="94" t="s">
        <v>155</v>
      </c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49"/>
      <c r="BF66" s="95"/>
      <c r="BG66" s="95"/>
    </row>
    <row r="67" spans="1:59" ht="17.25" customHeight="1" x14ac:dyDescent="0.25">
      <c r="A67" s="17"/>
      <c r="B67" s="96" t="s">
        <v>156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</row>
    <row r="68" spans="1:59" ht="17.25" customHeight="1" x14ac:dyDescent="0.25">
      <c r="A68" s="38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</row>
    <row r="69" spans="1:59" ht="15" customHeight="1" x14ac:dyDescent="0.25"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</row>
    <row r="70" spans="1:59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</sheetData>
  <mergeCells count="286">
    <mergeCell ref="B1:K1"/>
    <mergeCell ref="L1:BG1"/>
    <mergeCell ref="B2:BG2"/>
    <mergeCell ref="B3:BG3"/>
    <mergeCell ref="B4:P4"/>
    <mergeCell ref="Q4:Y4"/>
    <mergeCell ref="Z4:AB4"/>
    <mergeCell ref="AC4:AO4"/>
    <mergeCell ref="AP4:BA4"/>
    <mergeCell ref="BB4:BG4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Q12"/>
    <mergeCell ref="R10:T12"/>
    <mergeCell ref="U11:W12"/>
    <mergeCell ref="X11:Y12"/>
    <mergeCell ref="Z12:AB12"/>
    <mergeCell ref="AC12:AD12"/>
    <mergeCell ref="B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9:F19"/>
    <mergeCell ref="G19:N19"/>
    <mergeCell ref="O19:Y19"/>
    <mergeCell ref="Z19:AC19"/>
    <mergeCell ref="AD19:AH19"/>
    <mergeCell ref="AI19:AL19"/>
    <mergeCell ref="AM19:AZ19"/>
    <mergeCell ref="BA19:BG19"/>
    <mergeCell ref="B20:BG20"/>
    <mergeCell ref="B22:BG22"/>
    <mergeCell ref="B23:BG23"/>
    <mergeCell ref="B24:BG24"/>
    <mergeCell ref="B25:BG25"/>
    <mergeCell ref="B26:BG26"/>
    <mergeCell ref="B27:BG27"/>
    <mergeCell ref="B28:N29"/>
    <mergeCell ref="O28:R28"/>
    <mergeCell ref="S28:V28"/>
    <mergeCell ref="W28:AG29"/>
    <mergeCell ref="AH28:AK28"/>
    <mergeCell ref="AL28:BD28"/>
    <mergeCell ref="BE28:BG28"/>
    <mergeCell ref="O29:R29"/>
    <mergeCell ref="S29:V29"/>
    <mergeCell ref="AH29:AK29"/>
    <mergeCell ref="AL29:BD29"/>
    <mergeCell ref="BE29:BG29"/>
    <mergeCell ref="B30:BG30"/>
    <mergeCell ref="B31:W32"/>
    <mergeCell ref="X31:AA32"/>
    <mergeCell ref="AB31:AD32"/>
    <mergeCell ref="AE31:AG32"/>
    <mergeCell ref="AH31:AK32"/>
    <mergeCell ref="AL31:BG31"/>
    <mergeCell ref="AL32:AM32"/>
    <mergeCell ref="AN32:AU32"/>
    <mergeCell ref="AV32:AY32"/>
    <mergeCell ref="AZ32:BG32"/>
    <mergeCell ref="B33:W33"/>
    <mergeCell ref="X33:AA33"/>
    <mergeCell ref="AB33:AD33"/>
    <mergeCell ref="AE33:AG33"/>
    <mergeCell ref="AH33:AK33"/>
    <mergeCell ref="AL33:AM33"/>
    <mergeCell ref="AN33:AU33"/>
    <mergeCell ref="AV33:AY33"/>
    <mergeCell ref="AZ33:BG33"/>
    <mergeCell ref="B34:K34"/>
    <mergeCell ref="L34:T34"/>
    <mergeCell ref="U34:BG34"/>
    <mergeCell ref="B35:K35"/>
    <mergeCell ref="L35:T35"/>
    <mergeCell ref="U35:BG35"/>
    <mergeCell ref="B36:BG36"/>
    <mergeCell ref="B37:N38"/>
    <mergeCell ref="O37:T38"/>
    <mergeCell ref="U37:AD38"/>
    <mergeCell ref="AE37:BG37"/>
    <mergeCell ref="AF38:AO38"/>
    <mergeCell ref="AP38:AX38"/>
    <mergeCell ref="AY38:BG38"/>
    <mergeCell ref="B39:N39"/>
    <mergeCell ref="O39:T39"/>
    <mergeCell ref="U39:AD39"/>
    <mergeCell ref="AF39:AO39"/>
    <mergeCell ref="AP39:AX39"/>
    <mergeCell ref="AY39:BG39"/>
    <mergeCell ref="B40:N40"/>
    <mergeCell ref="O40:T40"/>
    <mergeCell ref="U40:AD40"/>
    <mergeCell ref="AF40:AO40"/>
    <mergeCell ref="AP40:AX40"/>
    <mergeCell ref="AY40:BG40"/>
    <mergeCell ref="B41:AD41"/>
    <mergeCell ref="AE41:AN41"/>
    <mergeCell ref="AO41:BG41"/>
    <mergeCell ref="B42:M42"/>
    <mergeCell ref="N42:R42"/>
    <mergeCell ref="S42:W42"/>
    <mergeCell ref="X42:AA42"/>
    <mergeCell ref="AB42:AD42"/>
    <mergeCell ref="AE42:AH45"/>
    <mergeCell ref="AI42:AK42"/>
    <mergeCell ref="AL42:AN42"/>
    <mergeCell ref="AO42:AT45"/>
    <mergeCell ref="AU42:BB42"/>
    <mergeCell ref="BC42:BG42"/>
    <mergeCell ref="B43:M43"/>
    <mergeCell ref="N43:R43"/>
    <mergeCell ref="S43:W43"/>
    <mergeCell ref="X43:AA43"/>
    <mergeCell ref="AB43:AD43"/>
    <mergeCell ref="AI43:AK43"/>
    <mergeCell ref="AL43:AN43"/>
    <mergeCell ref="AU43:BB43"/>
    <mergeCell ref="BC43:BG43"/>
    <mergeCell ref="B44:M44"/>
    <mergeCell ref="N44:R44"/>
    <mergeCell ref="S44:W44"/>
    <mergeCell ref="X44:AA44"/>
    <mergeCell ref="AB44:AD44"/>
    <mergeCell ref="AI44:AK44"/>
    <mergeCell ref="AL44:AN44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6:BG46"/>
    <mergeCell ref="B47:BG47"/>
    <mergeCell ref="B48:BG48"/>
    <mergeCell ref="B49:BG49"/>
    <mergeCell ref="B50:BG50"/>
    <mergeCell ref="B51:H51"/>
    <mergeCell ref="I51:O51"/>
    <mergeCell ref="P51:V51"/>
    <mergeCell ref="W51:AB51"/>
    <mergeCell ref="AC51:AF51"/>
    <mergeCell ref="AG51:AH51"/>
    <mergeCell ref="AI51:AL51"/>
    <mergeCell ref="AM51:AR51"/>
    <mergeCell ref="AS51:BG51"/>
    <mergeCell ref="B52:H52"/>
    <mergeCell ref="I52:O52"/>
    <mergeCell ref="P52:V52"/>
    <mergeCell ref="W52:AB52"/>
    <mergeCell ref="AC52:AF52"/>
    <mergeCell ref="AG52:AH52"/>
    <mergeCell ref="AI52:AL52"/>
    <mergeCell ref="AM52:AR52"/>
    <mergeCell ref="AS52:BG52"/>
    <mergeCell ref="B53:BG53"/>
    <mergeCell ref="B54:BG54"/>
    <mergeCell ref="B55:BG55"/>
    <mergeCell ref="B56:B59"/>
    <mergeCell ref="C56:G57"/>
    <mergeCell ref="H56:I57"/>
    <mergeCell ref="J56:L59"/>
    <mergeCell ref="M56:S56"/>
    <mergeCell ref="T56:U56"/>
    <mergeCell ref="V56:W60"/>
    <mergeCell ref="X56:AB56"/>
    <mergeCell ref="AD56:AF58"/>
    <mergeCell ref="AG56:AI56"/>
    <mergeCell ref="AK56:AL58"/>
    <mergeCell ref="AM56:BE56"/>
    <mergeCell ref="BF56:BG56"/>
    <mergeCell ref="M57:S58"/>
    <mergeCell ref="T57:U58"/>
    <mergeCell ref="X57:AB58"/>
    <mergeCell ref="AC57:AC58"/>
    <mergeCell ref="AG57:AI57"/>
    <mergeCell ref="AM57:BE58"/>
    <mergeCell ref="BF57:BG57"/>
    <mergeCell ref="C58:G59"/>
    <mergeCell ref="H58:I59"/>
    <mergeCell ref="AG58:AI58"/>
    <mergeCell ref="M59:S59"/>
    <mergeCell ref="T59:U59"/>
    <mergeCell ref="X59:AB59"/>
    <mergeCell ref="AD59:AF60"/>
    <mergeCell ref="AG59:AI59"/>
    <mergeCell ref="AK59:AL61"/>
    <mergeCell ref="AM59:BE59"/>
    <mergeCell ref="BF59:BG59"/>
    <mergeCell ref="B60:B66"/>
    <mergeCell ref="C60:G60"/>
    <mergeCell ref="H60:I60"/>
    <mergeCell ref="J60:L66"/>
    <mergeCell ref="M60:S60"/>
    <mergeCell ref="T60:U60"/>
    <mergeCell ref="X60:AB60"/>
    <mergeCell ref="AG60:AI60"/>
    <mergeCell ref="AM60:BE60"/>
    <mergeCell ref="BF60:BG60"/>
    <mergeCell ref="C61:G61"/>
    <mergeCell ref="H61:I61"/>
    <mergeCell ref="M61:S61"/>
    <mergeCell ref="T61:U61"/>
    <mergeCell ref="V61:W62"/>
    <mergeCell ref="X61:AB61"/>
    <mergeCell ref="AD61:AF66"/>
    <mergeCell ref="AG61:AI62"/>
    <mergeCell ref="AJ61:AJ62"/>
    <mergeCell ref="AM61:BE61"/>
    <mergeCell ref="BF61:BG61"/>
    <mergeCell ref="C62:G62"/>
    <mergeCell ref="H62:I62"/>
    <mergeCell ref="M62:S62"/>
    <mergeCell ref="T62:U62"/>
    <mergeCell ref="X62:AB62"/>
    <mergeCell ref="AK62:AL66"/>
    <mergeCell ref="AM62:BE62"/>
    <mergeCell ref="BF62:BG62"/>
    <mergeCell ref="C63:G64"/>
    <mergeCell ref="H63:I64"/>
    <mergeCell ref="M63:S64"/>
    <mergeCell ref="T63:U64"/>
    <mergeCell ref="V63:W66"/>
    <mergeCell ref="X63:AB65"/>
    <mergeCell ref="AC63:AC65"/>
    <mergeCell ref="AG63:AI64"/>
    <mergeCell ref="AJ63:AJ64"/>
    <mergeCell ref="AM63:BE63"/>
    <mergeCell ref="BF63:BG63"/>
    <mergeCell ref="AM64:BE64"/>
    <mergeCell ref="BF64:BG64"/>
    <mergeCell ref="C65:G66"/>
    <mergeCell ref="H65:I66"/>
    <mergeCell ref="M65:S65"/>
    <mergeCell ref="T65:U66"/>
    <mergeCell ref="AG65:AI65"/>
    <mergeCell ref="AJ65:AJ66"/>
    <mergeCell ref="AM65:BE65"/>
    <mergeCell ref="BF65:BG65"/>
    <mergeCell ref="X66:AA66"/>
    <mergeCell ref="AM66:BD66"/>
    <mergeCell ref="BF66:BG66"/>
    <mergeCell ref="B67:BG67"/>
    <mergeCell ref="B68:BG68"/>
    <mergeCell ref="B69:BG69"/>
  </mergeCells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0C0"/>
    <pageSetUpPr fitToPage="1"/>
  </sheetPr>
  <dimension ref="A1:P72"/>
  <sheetViews>
    <sheetView zoomScale="73" zoomScaleNormal="73" workbookViewId="0">
      <selection activeCell="G3" activeCellId="1" sqref="BJ5:BK5 G3:H4"/>
    </sheetView>
  </sheetViews>
  <sheetFormatPr baseColWidth="10" defaultColWidth="9.140625" defaultRowHeight="15" x14ac:dyDescent="0.25"/>
  <cols>
    <col min="1" max="2" width="11.42578125" customWidth="1"/>
    <col min="3" max="3" width="14.42578125" customWidth="1"/>
    <col min="4" max="4" width="11.42578125" customWidth="1"/>
    <col min="5" max="5" width="13.5703125" customWidth="1"/>
    <col min="6" max="6" width="13" customWidth="1"/>
    <col min="7" max="7" width="19.5703125" customWidth="1"/>
    <col min="8" max="8" width="14.7109375" customWidth="1"/>
    <col min="9" max="9" width="14.140625" customWidth="1"/>
    <col min="10" max="10" width="21.140625" customWidth="1"/>
    <col min="11" max="11" width="17" customWidth="1"/>
    <col min="12" max="12" width="12.5703125" customWidth="1"/>
    <col min="13" max="13" width="31.5703125" customWidth="1"/>
    <col min="14" max="14" width="28.42578125" customWidth="1"/>
    <col min="15" max="15" width="29" customWidth="1"/>
    <col min="16" max="16" width="32.28515625" customWidth="1"/>
    <col min="17" max="256" width="11.42578125" customWidth="1"/>
  </cols>
  <sheetData>
    <row r="1" spans="1:16" ht="24" customHeight="1" x14ac:dyDescent="0.25">
      <c r="A1" s="256" t="s">
        <v>157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8.25" customHeight="1" x14ac:dyDescent="0.25">
      <c r="A2" s="256" t="s">
        <v>158</v>
      </c>
      <c r="B2" s="256"/>
      <c r="C2" s="256"/>
      <c r="D2" s="256"/>
      <c r="E2" s="256"/>
      <c r="F2" s="256"/>
      <c r="G2" s="257" t="s">
        <v>32</v>
      </c>
      <c r="H2" s="257"/>
      <c r="I2" s="257"/>
      <c r="J2" s="257"/>
      <c r="K2" s="257"/>
      <c r="L2" s="257"/>
      <c r="M2" s="257"/>
      <c r="N2" s="257"/>
      <c r="O2" s="257"/>
      <c r="P2" s="257"/>
    </row>
    <row r="3" spans="1:16" ht="6" customHeight="1" x14ac:dyDescent="0.25">
      <c r="A3" s="258" t="s">
        <v>159</v>
      </c>
      <c r="B3" s="258"/>
      <c r="C3" s="258"/>
      <c r="D3" s="258"/>
      <c r="E3" s="258"/>
      <c r="F3" s="258"/>
      <c r="G3" s="259">
        <v>1</v>
      </c>
      <c r="H3" s="259"/>
      <c r="I3" s="253">
        <v>2</v>
      </c>
      <c r="J3" s="253"/>
      <c r="K3" s="253">
        <v>3</v>
      </c>
      <c r="L3" s="253"/>
      <c r="M3" s="253">
        <v>4</v>
      </c>
      <c r="N3" s="253">
        <v>5</v>
      </c>
      <c r="O3" s="253">
        <v>6</v>
      </c>
      <c r="P3" s="260">
        <v>7</v>
      </c>
    </row>
    <row r="4" spans="1:16" ht="15" customHeight="1" x14ac:dyDescent="0.25">
      <c r="A4" s="258"/>
      <c r="B4" s="258"/>
      <c r="C4" s="258"/>
      <c r="D4" s="258"/>
      <c r="E4" s="258"/>
      <c r="F4" s="258"/>
      <c r="G4" s="259"/>
      <c r="H4" s="259"/>
      <c r="I4" s="253"/>
      <c r="J4" s="253"/>
      <c r="K4" s="253"/>
      <c r="L4" s="253"/>
      <c r="M4" s="253"/>
      <c r="N4" s="253"/>
      <c r="O4" s="253"/>
      <c r="P4" s="260"/>
    </row>
    <row r="5" spans="1:16" ht="134.25" customHeight="1" x14ac:dyDescent="0.25">
      <c r="A5" s="258"/>
      <c r="B5" s="258"/>
      <c r="C5" s="258"/>
      <c r="D5" s="258"/>
      <c r="E5" s="258"/>
      <c r="F5" s="258"/>
      <c r="G5" s="261" t="s">
        <v>160</v>
      </c>
      <c r="H5" s="261"/>
      <c r="I5" s="262" t="s">
        <v>161</v>
      </c>
      <c r="J5" s="262"/>
      <c r="K5" s="262" t="s">
        <v>162</v>
      </c>
      <c r="L5" s="262"/>
      <c r="M5" s="50" t="s">
        <v>163</v>
      </c>
      <c r="N5" s="50" t="s">
        <v>164</v>
      </c>
      <c r="O5" s="50" t="s">
        <v>165</v>
      </c>
      <c r="P5" s="51"/>
    </row>
    <row r="6" spans="1:16" ht="15" customHeight="1" x14ac:dyDescent="0.25">
      <c r="A6" s="254" t="s">
        <v>166</v>
      </c>
      <c r="B6" s="254"/>
      <c r="C6" s="254"/>
      <c r="D6" s="255" t="s">
        <v>167</v>
      </c>
      <c r="E6" s="255"/>
      <c r="F6" s="255"/>
      <c r="G6" s="246"/>
      <c r="H6" s="246"/>
      <c r="I6" s="247"/>
      <c r="J6" s="247"/>
      <c r="K6" s="247"/>
      <c r="L6" s="247"/>
      <c r="M6" s="52"/>
      <c r="N6" s="52"/>
      <c r="O6" s="52"/>
      <c r="P6" s="53"/>
    </row>
    <row r="7" spans="1:16" ht="15" customHeight="1" x14ac:dyDescent="0.25">
      <c r="A7" s="254"/>
      <c r="B7" s="254"/>
      <c r="C7" s="254"/>
      <c r="D7" s="245" t="s">
        <v>168</v>
      </c>
      <c r="E7" s="245"/>
      <c r="F7" s="245"/>
      <c r="G7" s="246" t="s">
        <v>53</v>
      </c>
      <c r="H7" s="246"/>
      <c r="I7" s="247"/>
      <c r="J7" s="247"/>
      <c r="K7" s="247"/>
      <c r="L7" s="247"/>
      <c r="M7" s="52"/>
      <c r="N7" s="52"/>
      <c r="O7" s="52"/>
      <c r="P7" s="53"/>
    </row>
    <row r="8" spans="1:16" ht="15" customHeight="1" x14ac:dyDescent="0.25">
      <c r="A8" s="254"/>
      <c r="B8" s="254"/>
      <c r="C8" s="254"/>
      <c r="D8" s="245" t="s">
        <v>169</v>
      </c>
      <c r="E8" s="245"/>
      <c r="F8" s="245"/>
      <c r="G8" s="246"/>
      <c r="H8" s="246"/>
      <c r="I8" s="247"/>
      <c r="J8" s="247"/>
      <c r="K8" s="247"/>
      <c r="L8" s="247"/>
      <c r="M8" s="52"/>
      <c r="N8" s="52"/>
      <c r="O8" s="52"/>
      <c r="P8" s="53"/>
    </row>
    <row r="9" spans="1:16" ht="15" customHeight="1" x14ac:dyDescent="0.25">
      <c r="A9" s="254"/>
      <c r="B9" s="254"/>
      <c r="C9" s="254"/>
      <c r="D9" s="245" t="s">
        <v>170</v>
      </c>
      <c r="E9" s="245"/>
      <c r="F9" s="245"/>
      <c r="G9" s="246"/>
      <c r="H9" s="246"/>
      <c r="I9" s="247"/>
      <c r="J9" s="247"/>
      <c r="K9" s="247"/>
      <c r="L9" s="247"/>
      <c r="M9" s="52"/>
      <c r="N9" s="52"/>
      <c r="O9" s="52"/>
      <c r="P9" s="53"/>
    </row>
    <row r="10" spans="1:16" ht="15" customHeight="1" x14ac:dyDescent="0.25">
      <c r="A10" s="254"/>
      <c r="B10" s="254"/>
      <c r="C10" s="254"/>
      <c r="D10" s="245" t="s">
        <v>171</v>
      </c>
      <c r="E10" s="245"/>
      <c r="F10" s="245"/>
      <c r="G10" s="246"/>
      <c r="H10" s="246"/>
      <c r="I10" s="247" t="s">
        <v>53</v>
      </c>
      <c r="J10" s="247"/>
      <c r="K10" s="247"/>
      <c r="L10" s="247"/>
      <c r="M10" s="52"/>
      <c r="N10" s="52"/>
      <c r="O10" s="52"/>
      <c r="P10" s="53"/>
    </row>
    <row r="11" spans="1:16" ht="15" customHeight="1" x14ac:dyDescent="0.25">
      <c r="A11" s="254"/>
      <c r="B11" s="254"/>
      <c r="C11" s="254"/>
      <c r="D11" s="245" t="s">
        <v>172</v>
      </c>
      <c r="E11" s="245"/>
      <c r="F11" s="245"/>
      <c r="G11" s="246"/>
      <c r="H11" s="246"/>
      <c r="I11" s="247" t="s">
        <v>53</v>
      </c>
      <c r="J11" s="247"/>
      <c r="K11" s="247"/>
      <c r="L11" s="247"/>
      <c r="M11" s="52"/>
      <c r="N11" s="52"/>
      <c r="O11" s="52"/>
      <c r="P11" s="53"/>
    </row>
    <row r="12" spans="1:16" ht="15" customHeight="1" x14ac:dyDescent="0.25">
      <c r="A12" s="254"/>
      <c r="B12" s="254"/>
      <c r="C12" s="254"/>
      <c r="D12" s="245" t="s">
        <v>173</v>
      </c>
      <c r="E12" s="245"/>
      <c r="F12" s="245"/>
      <c r="G12" s="246"/>
      <c r="H12" s="246"/>
      <c r="I12" s="247"/>
      <c r="J12" s="247"/>
      <c r="K12" s="247"/>
      <c r="L12" s="247"/>
      <c r="M12" s="52"/>
      <c r="N12" s="52"/>
      <c r="O12" s="52"/>
      <c r="P12" s="53"/>
    </row>
    <row r="13" spans="1:16" ht="15" customHeight="1" x14ac:dyDescent="0.25">
      <c r="A13" s="254"/>
      <c r="B13" s="254"/>
      <c r="C13" s="254"/>
      <c r="D13" s="245" t="s">
        <v>174</v>
      </c>
      <c r="E13" s="245"/>
      <c r="F13" s="245"/>
      <c r="G13" s="246"/>
      <c r="H13" s="246"/>
      <c r="I13" s="247"/>
      <c r="J13" s="247"/>
      <c r="K13" s="247"/>
      <c r="L13" s="247"/>
      <c r="M13" s="52"/>
      <c r="N13" s="52"/>
      <c r="O13" s="52"/>
      <c r="P13" s="53"/>
    </row>
    <row r="14" spans="1:16" ht="15" customHeight="1" x14ac:dyDescent="0.25">
      <c r="A14" s="254"/>
      <c r="B14" s="254"/>
      <c r="C14" s="254"/>
      <c r="D14" s="245" t="s">
        <v>175</v>
      </c>
      <c r="E14" s="245"/>
      <c r="F14" s="245"/>
      <c r="G14" s="246"/>
      <c r="H14" s="246"/>
      <c r="I14" s="247"/>
      <c r="J14" s="247"/>
      <c r="K14" s="247"/>
      <c r="L14" s="247"/>
      <c r="M14" s="52"/>
      <c r="N14" s="52"/>
      <c r="O14" s="52"/>
      <c r="P14" s="53"/>
    </row>
    <row r="15" spans="1:16" ht="18" customHeight="1" x14ac:dyDescent="0.25">
      <c r="A15" s="254"/>
      <c r="B15" s="254"/>
      <c r="C15" s="254"/>
      <c r="D15" s="245" t="s">
        <v>176</v>
      </c>
      <c r="E15" s="245"/>
      <c r="F15" s="245"/>
      <c r="G15" s="246"/>
      <c r="H15" s="246"/>
      <c r="I15" s="247"/>
      <c r="J15" s="247"/>
      <c r="K15" s="247"/>
      <c r="L15" s="247"/>
      <c r="M15" s="52"/>
      <c r="N15" s="52"/>
      <c r="O15" s="52"/>
      <c r="P15" s="53"/>
    </row>
    <row r="16" spans="1:16" ht="22.5" customHeight="1" x14ac:dyDescent="0.25">
      <c r="A16" s="251" t="s">
        <v>177</v>
      </c>
      <c r="B16" s="251"/>
      <c r="C16" s="54" t="s">
        <v>178</v>
      </c>
      <c r="D16" s="252" t="s">
        <v>179</v>
      </c>
      <c r="E16" s="252"/>
      <c r="F16" s="252"/>
      <c r="G16" s="246"/>
      <c r="H16" s="246"/>
      <c r="I16" s="247"/>
      <c r="J16" s="247"/>
      <c r="K16" s="247"/>
      <c r="L16" s="247"/>
      <c r="M16" s="52"/>
      <c r="N16" s="52"/>
      <c r="O16" s="52"/>
      <c r="P16" s="53"/>
    </row>
    <row r="17" spans="1:16" ht="27" customHeight="1" x14ac:dyDescent="0.25">
      <c r="A17" s="251"/>
      <c r="B17" s="251"/>
      <c r="C17" s="253" t="s">
        <v>180</v>
      </c>
      <c r="D17" s="252" t="s">
        <v>181</v>
      </c>
      <c r="E17" s="252"/>
      <c r="F17" s="252"/>
      <c r="G17" s="246"/>
      <c r="H17" s="246"/>
      <c r="I17" s="247"/>
      <c r="J17" s="247"/>
      <c r="K17" s="247"/>
      <c r="L17" s="247"/>
      <c r="M17" s="52"/>
      <c r="N17" s="52"/>
      <c r="O17" s="52"/>
      <c r="P17" s="53"/>
    </row>
    <row r="18" spans="1:16" ht="15" customHeight="1" x14ac:dyDescent="0.25">
      <c r="A18" s="251"/>
      <c r="B18" s="251"/>
      <c r="C18" s="253"/>
      <c r="D18" s="245" t="s">
        <v>182</v>
      </c>
      <c r="E18" s="245"/>
      <c r="F18" s="245"/>
      <c r="G18" s="246"/>
      <c r="H18" s="246"/>
      <c r="I18" s="247" t="s">
        <v>53</v>
      </c>
      <c r="J18" s="247"/>
      <c r="K18" s="247"/>
      <c r="L18" s="247"/>
      <c r="M18" s="52"/>
      <c r="N18" s="52"/>
      <c r="O18" s="52"/>
      <c r="P18" s="53"/>
    </row>
    <row r="19" spans="1:16" ht="15" customHeight="1" x14ac:dyDescent="0.25">
      <c r="A19" s="251"/>
      <c r="B19" s="251"/>
      <c r="C19" s="253"/>
      <c r="D19" s="245" t="s">
        <v>183</v>
      </c>
      <c r="E19" s="245"/>
      <c r="F19" s="245"/>
      <c r="G19" s="246"/>
      <c r="H19" s="246"/>
      <c r="I19" s="247" t="s">
        <v>53</v>
      </c>
      <c r="J19" s="247"/>
      <c r="K19" s="247"/>
      <c r="L19" s="247"/>
      <c r="M19" s="52"/>
      <c r="N19" s="52"/>
      <c r="O19" s="52"/>
      <c r="P19" s="53"/>
    </row>
    <row r="20" spans="1:16" ht="15" customHeight="1" x14ac:dyDescent="0.25">
      <c r="A20" s="251"/>
      <c r="B20" s="251"/>
      <c r="C20" s="253"/>
      <c r="D20" s="245" t="s">
        <v>184</v>
      </c>
      <c r="E20" s="245"/>
      <c r="F20" s="245"/>
      <c r="G20" s="246"/>
      <c r="H20" s="246"/>
      <c r="I20" s="247" t="s">
        <v>53</v>
      </c>
      <c r="J20" s="247"/>
      <c r="K20" s="247"/>
      <c r="L20" s="247"/>
      <c r="M20" s="52"/>
      <c r="N20" s="52"/>
      <c r="O20" s="52"/>
      <c r="P20" s="53"/>
    </row>
    <row r="21" spans="1:16" ht="15" customHeight="1" x14ac:dyDescent="0.25">
      <c r="A21" s="251"/>
      <c r="B21" s="251"/>
      <c r="C21" s="253"/>
      <c r="D21" s="245" t="s">
        <v>185</v>
      </c>
      <c r="E21" s="245"/>
      <c r="F21" s="245"/>
      <c r="G21" s="246"/>
      <c r="H21" s="246"/>
      <c r="I21" s="247" t="s">
        <v>53</v>
      </c>
      <c r="J21" s="247"/>
      <c r="K21" s="247"/>
      <c r="L21" s="247"/>
      <c r="M21" s="52"/>
      <c r="N21" s="52"/>
      <c r="O21" s="52"/>
      <c r="P21" s="53"/>
    </row>
    <row r="22" spans="1:16" ht="15" customHeight="1" x14ac:dyDescent="0.25">
      <c r="A22" s="251"/>
      <c r="B22" s="251"/>
      <c r="C22" s="253"/>
      <c r="D22" s="245" t="s">
        <v>186</v>
      </c>
      <c r="E22" s="245"/>
      <c r="F22" s="245"/>
      <c r="G22" s="246"/>
      <c r="H22" s="246"/>
      <c r="I22" s="247" t="s">
        <v>53</v>
      </c>
      <c r="J22" s="247"/>
      <c r="K22" s="247"/>
      <c r="L22" s="247"/>
      <c r="M22" s="52"/>
      <c r="N22" s="52"/>
      <c r="O22" s="52"/>
      <c r="P22" s="53"/>
    </row>
    <row r="23" spans="1:16" ht="15" customHeight="1" x14ac:dyDescent="0.25">
      <c r="A23" s="251"/>
      <c r="B23" s="251"/>
      <c r="C23" s="253"/>
      <c r="D23" s="245" t="s">
        <v>187</v>
      </c>
      <c r="E23" s="245"/>
      <c r="F23" s="245"/>
      <c r="G23" s="246"/>
      <c r="H23" s="246"/>
      <c r="I23" s="247" t="s">
        <v>53</v>
      </c>
      <c r="J23" s="247"/>
      <c r="K23" s="247"/>
      <c r="L23" s="247"/>
      <c r="M23" s="52"/>
      <c r="N23" s="52"/>
      <c r="O23" s="52"/>
      <c r="P23" s="53"/>
    </row>
    <row r="24" spans="1:16" ht="15" customHeight="1" x14ac:dyDescent="0.25">
      <c r="A24" s="251"/>
      <c r="B24" s="251"/>
      <c r="C24" s="253"/>
      <c r="D24" s="245" t="s">
        <v>188</v>
      </c>
      <c r="E24" s="245"/>
      <c r="F24" s="245"/>
      <c r="G24" s="246"/>
      <c r="H24" s="246"/>
      <c r="I24" s="247"/>
      <c r="J24" s="247"/>
      <c r="K24" s="247"/>
      <c r="L24" s="247"/>
      <c r="M24" s="52"/>
      <c r="N24" s="52"/>
      <c r="O24" s="52"/>
      <c r="P24" s="53"/>
    </row>
    <row r="25" spans="1:16" ht="15" customHeight="1" x14ac:dyDescent="0.25">
      <c r="A25" s="251"/>
      <c r="B25" s="251"/>
      <c r="C25" s="253"/>
      <c r="D25" s="245" t="s">
        <v>189</v>
      </c>
      <c r="E25" s="245"/>
      <c r="F25" s="245"/>
      <c r="G25" s="246"/>
      <c r="H25" s="246"/>
      <c r="I25" s="247"/>
      <c r="J25" s="247"/>
      <c r="K25" s="247"/>
      <c r="L25" s="247"/>
      <c r="M25" s="52"/>
      <c r="N25" s="52"/>
      <c r="O25" s="52"/>
      <c r="P25" s="53"/>
    </row>
    <row r="26" spans="1:16" ht="15" customHeight="1" x14ac:dyDescent="0.25">
      <c r="A26" s="251"/>
      <c r="B26" s="251"/>
      <c r="C26" s="253"/>
      <c r="D26" s="245" t="s">
        <v>190</v>
      </c>
      <c r="E26" s="245"/>
      <c r="F26" s="245"/>
      <c r="G26" s="246"/>
      <c r="H26" s="246"/>
      <c r="I26" s="247"/>
      <c r="J26" s="247"/>
      <c r="K26" s="247"/>
      <c r="L26" s="247"/>
      <c r="M26" s="52"/>
      <c r="N26" s="52"/>
      <c r="O26" s="52"/>
      <c r="P26" s="53"/>
    </row>
    <row r="27" spans="1:16" ht="15" customHeight="1" x14ac:dyDescent="0.25">
      <c r="A27" s="251"/>
      <c r="B27" s="251"/>
      <c r="C27" s="253"/>
      <c r="D27" s="245" t="s">
        <v>191</v>
      </c>
      <c r="E27" s="245"/>
      <c r="F27" s="245"/>
      <c r="G27" s="246"/>
      <c r="H27" s="246"/>
      <c r="I27" s="247"/>
      <c r="J27" s="247"/>
      <c r="K27" s="247"/>
      <c r="L27" s="247"/>
      <c r="M27" s="52"/>
      <c r="N27" s="52"/>
      <c r="O27" s="52"/>
      <c r="P27" s="53"/>
    </row>
    <row r="28" spans="1:16" ht="15" customHeight="1" x14ac:dyDescent="0.25">
      <c r="A28" s="251"/>
      <c r="B28" s="251"/>
      <c r="C28" s="253"/>
      <c r="D28" s="245" t="s">
        <v>192</v>
      </c>
      <c r="E28" s="245"/>
      <c r="F28" s="245"/>
      <c r="G28" s="246"/>
      <c r="H28" s="246"/>
      <c r="I28" s="247"/>
      <c r="J28" s="247"/>
      <c r="K28" s="247"/>
      <c r="L28" s="247"/>
      <c r="M28" s="52"/>
      <c r="N28" s="52"/>
      <c r="O28" s="52"/>
      <c r="P28" s="53"/>
    </row>
    <row r="29" spans="1:16" ht="15" customHeight="1" x14ac:dyDescent="0.25">
      <c r="A29" s="251"/>
      <c r="B29" s="251"/>
      <c r="C29" s="54" t="s">
        <v>193</v>
      </c>
      <c r="D29" s="245" t="s">
        <v>194</v>
      </c>
      <c r="E29" s="245"/>
      <c r="F29" s="245"/>
      <c r="G29" s="246"/>
      <c r="H29" s="246"/>
      <c r="I29" s="247"/>
      <c r="J29" s="247"/>
      <c r="K29" s="247"/>
      <c r="L29" s="247"/>
      <c r="M29" s="52"/>
      <c r="N29" s="52"/>
      <c r="O29" s="52"/>
      <c r="P29" s="53"/>
    </row>
    <row r="30" spans="1:16" ht="15" customHeight="1" x14ac:dyDescent="0.25">
      <c r="A30" s="251"/>
      <c r="B30" s="251"/>
      <c r="C30" s="54" t="s">
        <v>195</v>
      </c>
      <c r="D30" s="245" t="s">
        <v>196</v>
      </c>
      <c r="E30" s="245"/>
      <c r="F30" s="245"/>
      <c r="G30" s="246"/>
      <c r="H30" s="246"/>
      <c r="I30" s="247"/>
      <c r="J30" s="247"/>
      <c r="K30" s="247"/>
      <c r="L30" s="247"/>
      <c r="M30" s="52"/>
      <c r="N30" s="52"/>
      <c r="O30" s="52"/>
      <c r="P30" s="53"/>
    </row>
    <row r="31" spans="1:16" ht="15" customHeight="1" x14ac:dyDescent="0.25">
      <c r="A31" s="249" t="s">
        <v>197</v>
      </c>
      <c r="B31" s="249"/>
      <c r="C31" s="249"/>
      <c r="D31" s="245" t="s">
        <v>198</v>
      </c>
      <c r="E31" s="245"/>
      <c r="F31" s="245"/>
      <c r="G31" s="246"/>
      <c r="H31" s="246"/>
      <c r="I31" s="247"/>
      <c r="J31" s="247"/>
      <c r="K31" s="247" t="s">
        <v>53</v>
      </c>
      <c r="L31" s="247"/>
      <c r="M31" s="52"/>
      <c r="N31" s="52"/>
      <c r="O31" s="52"/>
      <c r="P31" s="53"/>
    </row>
    <row r="32" spans="1:16" ht="15" customHeight="1" x14ac:dyDescent="0.25">
      <c r="A32" s="249"/>
      <c r="B32" s="249"/>
      <c r="C32" s="249"/>
      <c r="D32" s="245" t="s">
        <v>199</v>
      </c>
      <c r="E32" s="245"/>
      <c r="F32" s="245"/>
      <c r="G32" s="246"/>
      <c r="H32" s="246"/>
      <c r="I32" s="247"/>
      <c r="J32" s="247"/>
      <c r="K32" s="247" t="s">
        <v>53</v>
      </c>
      <c r="L32" s="247"/>
      <c r="M32" s="52"/>
      <c r="N32" s="52"/>
      <c r="O32" s="52"/>
      <c r="P32" s="53"/>
    </row>
    <row r="33" spans="1:16" ht="15" customHeight="1" x14ac:dyDescent="0.25">
      <c r="A33" s="249"/>
      <c r="B33" s="249"/>
      <c r="C33" s="249"/>
      <c r="D33" s="245" t="s">
        <v>200</v>
      </c>
      <c r="E33" s="245"/>
      <c r="F33" s="245"/>
      <c r="G33" s="246"/>
      <c r="H33" s="246"/>
      <c r="I33" s="247"/>
      <c r="J33" s="247"/>
      <c r="K33" s="247"/>
      <c r="L33" s="247"/>
      <c r="M33" s="52"/>
      <c r="N33" s="52"/>
      <c r="O33" s="52"/>
      <c r="P33" s="53"/>
    </row>
    <row r="34" spans="1:16" ht="15" customHeight="1" x14ac:dyDescent="0.25">
      <c r="A34" s="249"/>
      <c r="B34" s="249"/>
      <c r="C34" s="249"/>
      <c r="D34" s="245" t="s">
        <v>201</v>
      </c>
      <c r="E34" s="245"/>
      <c r="F34" s="245"/>
      <c r="G34" s="246"/>
      <c r="H34" s="246"/>
      <c r="I34" s="247"/>
      <c r="J34" s="247"/>
      <c r="K34" s="247" t="s">
        <v>53</v>
      </c>
      <c r="L34" s="247"/>
      <c r="M34" s="52"/>
      <c r="N34" s="52"/>
      <c r="O34" s="52"/>
      <c r="P34" s="53"/>
    </row>
    <row r="35" spans="1:16" ht="15" customHeight="1" x14ac:dyDescent="0.25">
      <c r="A35" s="249"/>
      <c r="B35" s="249"/>
      <c r="C35" s="249"/>
      <c r="D35" s="245" t="s">
        <v>202</v>
      </c>
      <c r="E35" s="245"/>
      <c r="F35" s="245"/>
      <c r="G35" s="246"/>
      <c r="H35" s="246"/>
      <c r="I35" s="247"/>
      <c r="J35" s="247"/>
      <c r="K35" s="247"/>
      <c r="L35" s="247"/>
      <c r="M35" s="52"/>
      <c r="N35" s="52"/>
      <c r="O35" s="52"/>
      <c r="P35" s="53"/>
    </row>
    <row r="36" spans="1:16" ht="15" customHeight="1" x14ac:dyDescent="0.25">
      <c r="A36" s="249"/>
      <c r="B36" s="249"/>
      <c r="C36" s="249"/>
      <c r="D36" s="245" t="s">
        <v>203</v>
      </c>
      <c r="E36" s="245"/>
      <c r="F36" s="245"/>
      <c r="G36" s="246"/>
      <c r="H36" s="246"/>
      <c r="I36" s="247"/>
      <c r="J36" s="247"/>
      <c r="K36" s="247"/>
      <c r="L36" s="247"/>
      <c r="M36" s="52"/>
      <c r="N36" s="52"/>
      <c r="O36" s="52"/>
      <c r="P36" s="53"/>
    </row>
    <row r="37" spans="1:16" ht="15" customHeight="1" x14ac:dyDescent="0.25">
      <c r="A37" s="249"/>
      <c r="B37" s="249"/>
      <c r="C37" s="249"/>
      <c r="D37" s="245" t="s">
        <v>204</v>
      </c>
      <c r="E37" s="245"/>
      <c r="F37" s="245"/>
      <c r="G37" s="246"/>
      <c r="H37" s="246"/>
      <c r="I37" s="247"/>
      <c r="J37" s="247"/>
      <c r="K37" s="247" t="s">
        <v>53</v>
      </c>
      <c r="L37" s="247"/>
      <c r="M37" s="52"/>
      <c r="N37" s="52"/>
      <c r="O37" s="52"/>
      <c r="P37" s="53"/>
    </row>
    <row r="38" spans="1:16" ht="15" customHeight="1" x14ac:dyDescent="0.25">
      <c r="A38" s="249"/>
      <c r="B38" s="249"/>
      <c r="C38" s="249"/>
      <c r="D38" s="245" t="s">
        <v>205</v>
      </c>
      <c r="E38" s="245"/>
      <c r="F38" s="245"/>
      <c r="G38" s="246"/>
      <c r="H38" s="246"/>
      <c r="I38" s="247"/>
      <c r="J38" s="247"/>
      <c r="K38" s="247"/>
      <c r="L38" s="247"/>
      <c r="M38" s="52"/>
      <c r="N38" s="52"/>
      <c r="O38" s="52"/>
      <c r="P38" s="53"/>
    </row>
    <row r="39" spans="1:16" ht="15" customHeight="1" x14ac:dyDescent="0.25">
      <c r="A39" s="249"/>
      <c r="B39" s="249"/>
      <c r="C39" s="249"/>
      <c r="D39" s="245" t="s">
        <v>176</v>
      </c>
      <c r="E39" s="245"/>
      <c r="F39" s="245"/>
      <c r="G39" s="246"/>
      <c r="H39" s="246"/>
      <c r="I39" s="247"/>
      <c r="J39" s="247"/>
      <c r="K39" s="247"/>
      <c r="L39" s="247"/>
      <c r="M39" s="52"/>
      <c r="N39" s="52"/>
      <c r="O39" s="52"/>
      <c r="P39" s="53"/>
    </row>
    <row r="40" spans="1:16" ht="15" customHeight="1" x14ac:dyDescent="0.25">
      <c r="A40" s="249" t="s">
        <v>206</v>
      </c>
      <c r="B40" s="249"/>
      <c r="C40" s="249"/>
      <c r="D40" s="250" t="s">
        <v>207</v>
      </c>
      <c r="E40" s="250"/>
      <c r="F40" s="250"/>
      <c r="G40" s="246"/>
      <c r="H40" s="246"/>
      <c r="I40" s="247"/>
      <c r="J40" s="247"/>
      <c r="K40" s="247"/>
      <c r="L40" s="247"/>
      <c r="M40" s="52" t="s">
        <v>53</v>
      </c>
      <c r="N40" s="52"/>
      <c r="O40" s="52"/>
      <c r="P40" s="53"/>
    </row>
    <row r="41" spans="1:16" ht="15" customHeight="1" x14ac:dyDescent="0.25">
      <c r="A41" s="249"/>
      <c r="B41" s="249"/>
      <c r="C41" s="249"/>
      <c r="D41" s="245" t="s">
        <v>208</v>
      </c>
      <c r="E41" s="245"/>
      <c r="F41" s="245"/>
      <c r="G41" s="246"/>
      <c r="H41" s="246"/>
      <c r="I41" s="247"/>
      <c r="J41" s="247"/>
      <c r="K41" s="247"/>
      <c r="L41" s="247"/>
      <c r="M41" s="52" t="s">
        <v>53</v>
      </c>
      <c r="N41" s="52"/>
      <c r="O41" s="52"/>
      <c r="P41" s="53"/>
    </row>
    <row r="42" spans="1:16" ht="15" customHeight="1" x14ac:dyDescent="0.25">
      <c r="A42" s="249"/>
      <c r="B42" s="249"/>
      <c r="C42" s="249"/>
      <c r="D42" s="245" t="s">
        <v>209</v>
      </c>
      <c r="E42" s="245"/>
      <c r="F42" s="245"/>
      <c r="G42" s="246"/>
      <c r="H42" s="246"/>
      <c r="I42" s="247"/>
      <c r="J42" s="247"/>
      <c r="K42" s="247"/>
      <c r="L42" s="247"/>
      <c r="M42" s="52" t="s">
        <v>53</v>
      </c>
      <c r="N42" s="52"/>
      <c r="O42" s="52"/>
      <c r="P42" s="53"/>
    </row>
    <row r="43" spans="1:16" ht="15" customHeight="1" x14ac:dyDescent="0.25">
      <c r="A43" s="249"/>
      <c r="B43" s="249"/>
      <c r="C43" s="249"/>
      <c r="D43" s="245" t="s">
        <v>210</v>
      </c>
      <c r="E43" s="245"/>
      <c r="F43" s="245"/>
      <c r="G43" s="246"/>
      <c r="H43" s="246"/>
      <c r="I43" s="247"/>
      <c r="J43" s="247"/>
      <c r="K43" s="247"/>
      <c r="L43" s="247"/>
      <c r="M43" s="52" t="s">
        <v>53</v>
      </c>
      <c r="N43" s="52"/>
      <c r="O43" s="52"/>
      <c r="P43" s="53"/>
    </row>
    <row r="44" spans="1:16" ht="15" customHeight="1" x14ac:dyDescent="0.25">
      <c r="A44" s="249"/>
      <c r="B44" s="249"/>
      <c r="C44" s="249"/>
      <c r="D44" s="245" t="s">
        <v>211</v>
      </c>
      <c r="E44" s="245"/>
      <c r="F44" s="245"/>
      <c r="G44" s="246"/>
      <c r="H44" s="246"/>
      <c r="I44" s="247"/>
      <c r="J44" s="247"/>
      <c r="K44" s="247"/>
      <c r="L44" s="247"/>
      <c r="M44" s="52"/>
      <c r="N44" s="52"/>
      <c r="O44" s="52"/>
      <c r="P44" s="53"/>
    </row>
    <row r="45" spans="1:16" ht="15" customHeight="1" x14ac:dyDescent="0.25">
      <c r="A45" s="249"/>
      <c r="B45" s="249"/>
      <c r="C45" s="249"/>
      <c r="D45" s="245" t="s">
        <v>212</v>
      </c>
      <c r="E45" s="245"/>
      <c r="F45" s="245"/>
      <c r="G45" s="246"/>
      <c r="H45" s="246"/>
      <c r="I45" s="247"/>
      <c r="J45" s="247"/>
      <c r="K45" s="247"/>
      <c r="L45" s="247"/>
      <c r="M45" s="52"/>
      <c r="N45" s="52"/>
      <c r="O45" s="52"/>
      <c r="P45" s="53"/>
    </row>
    <row r="46" spans="1:16" ht="15" customHeight="1" x14ac:dyDescent="0.25">
      <c r="A46" s="249"/>
      <c r="B46" s="249"/>
      <c r="C46" s="249"/>
      <c r="D46" s="245" t="s">
        <v>176</v>
      </c>
      <c r="E46" s="245"/>
      <c r="F46" s="245"/>
      <c r="G46" s="246"/>
      <c r="H46" s="246"/>
      <c r="I46" s="247"/>
      <c r="J46" s="247"/>
      <c r="K46" s="247"/>
      <c r="L46" s="247"/>
      <c r="M46" s="52"/>
      <c r="N46" s="52"/>
      <c r="O46" s="52"/>
      <c r="P46" s="53"/>
    </row>
    <row r="47" spans="1:16" ht="15" customHeight="1" x14ac:dyDescent="0.25">
      <c r="A47" s="248" t="s">
        <v>213</v>
      </c>
      <c r="B47" s="248"/>
      <c r="C47" s="248"/>
      <c r="D47" s="245" t="s">
        <v>214</v>
      </c>
      <c r="E47" s="245"/>
      <c r="F47" s="245"/>
      <c r="G47" s="246"/>
      <c r="H47" s="246"/>
      <c r="I47" s="247"/>
      <c r="J47" s="247"/>
      <c r="K47" s="247"/>
      <c r="L47" s="247"/>
      <c r="M47" s="52"/>
      <c r="N47" s="52"/>
      <c r="O47" s="52"/>
      <c r="P47" s="53"/>
    </row>
    <row r="48" spans="1:16" ht="15" customHeight="1" x14ac:dyDescent="0.25">
      <c r="A48" s="248"/>
      <c r="B48" s="248"/>
      <c r="C48" s="248"/>
      <c r="D48" s="245" t="s">
        <v>215</v>
      </c>
      <c r="E48" s="245"/>
      <c r="F48" s="245"/>
      <c r="G48" s="246"/>
      <c r="H48" s="246"/>
      <c r="I48" s="247"/>
      <c r="J48" s="247"/>
      <c r="K48" s="247"/>
      <c r="L48" s="247"/>
      <c r="M48" s="52"/>
      <c r="N48" s="52" t="s">
        <v>53</v>
      </c>
      <c r="O48" s="52"/>
      <c r="P48" s="53"/>
    </row>
    <row r="49" spans="1:16" ht="15" customHeight="1" x14ac:dyDescent="0.25">
      <c r="A49" s="248"/>
      <c r="B49" s="248"/>
      <c r="C49" s="248"/>
      <c r="D49" s="245" t="s">
        <v>216</v>
      </c>
      <c r="E49" s="245"/>
      <c r="F49" s="245"/>
      <c r="G49" s="246"/>
      <c r="H49" s="246"/>
      <c r="I49" s="247"/>
      <c r="J49" s="247"/>
      <c r="K49" s="247"/>
      <c r="L49" s="247"/>
      <c r="M49" s="52"/>
      <c r="N49" s="52" t="s">
        <v>53</v>
      </c>
      <c r="O49" s="52"/>
      <c r="P49" s="53"/>
    </row>
    <row r="50" spans="1:16" ht="15" customHeight="1" x14ac:dyDescent="0.25">
      <c r="A50" s="248"/>
      <c r="B50" s="248"/>
      <c r="C50" s="248"/>
      <c r="D50" s="245" t="s">
        <v>217</v>
      </c>
      <c r="E50" s="245"/>
      <c r="F50" s="245"/>
      <c r="G50" s="246"/>
      <c r="H50" s="246"/>
      <c r="I50" s="247"/>
      <c r="J50" s="247"/>
      <c r="K50" s="247"/>
      <c r="L50" s="247"/>
      <c r="M50" s="52"/>
      <c r="N50" s="52"/>
      <c r="O50" s="52"/>
      <c r="P50" s="53"/>
    </row>
    <row r="51" spans="1:16" ht="15" customHeight="1" x14ac:dyDescent="0.25">
      <c r="A51" s="248"/>
      <c r="B51" s="248"/>
      <c r="C51" s="248"/>
      <c r="D51" s="245" t="s">
        <v>218</v>
      </c>
      <c r="E51" s="245"/>
      <c r="F51" s="245"/>
      <c r="G51" s="246"/>
      <c r="H51" s="246"/>
      <c r="I51" s="247"/>
      <c r="J51" s="247"/>
      <c r="K51" s="247"/>
      <c r="L51" s="247"/>
      <c r="M51" s="52"/>
      <c r="N51" s="52"/>
      <c r="O51" s="52"/>
      <c r="P51" s="53"/>
    </row>
    <row r="52" spans="1:16" ht="15" customHeight="1" x14ac:dyDescent="0.25">
      <c r="A52" s="248"/>
      <c r="B52" s="248"/>
      <c r="C52" s="248"/>
      <c r="D52" s="245" t="s">
        <v>219</v>
      </c>
      <c r="E52" s="245"/>
      <c r="F52" s="245"/>
      <c r="G52" s="246"/>
      <c r="H52" s="246"/>
      <c r="I52" s="247"/>
      <c r="J52" s="247"/>
      <c r="K52" s="247"/>
      <c r="L52" s="247"/>
      <c r="M52" s="52"/>
      <c r="N52" s="52"/>
      <c r="O52" s="52"/>
      <c r="P52" s="53"/>
    </row>
    <row r="53" spans="1:16" ht="15" customHeight="1" x14ac:dyDescent="0.25">
      <c r="A53" s="248" t="s">
        <v>220</v>
      </c>
      <c r="B53" s="248"/>
      <c r="C53" s="248"/>
      <c r="D53" s="245" t="s">
        <v>221</v>
      </c>
      <c r="E53" s="245"/>
      <c r="F53" s="245"/>
      <c r="G53" s="246"/>
      <c r="H53" s="246"/>
      <c r="I53" s="247"/>
      <c r="J53" s="247"/>
      <c r="K53" s="247"/>
      <c r="L53" s="247"/>
      <c r="M53" s="52"/>
      <c r="N53" s="52" t="s">
        <v>53</v>
      </c>
      <c r="O53" s="52"/>
      <c r="P53" s="53"/>
    </row>
    <row r="54" spans="1:16" ht="15" customHeight="1" x14ac:dyDescent="0.25">
      <c r="A54" s="248"/>
      <c r="B54" s="248"/>
      <c r="C54" s="248"/>
      <c r="D54" s="245" t="s">
        <v>222</v>
      </c>
      <c r="E54" s="245"/>
      <c r="F54" s="245"/>
      <c r="G54" s="246"/>
      <c r="H54" s="246"/>
      <c r="I54" s="247"/>
      <c r="J54" s="247"/>
      <c r="K54" s="247"/>
      <c r="L54" s="247"/>
      <c r="M54" s="52"/>
      <c r="N54" s="52"/>
      <c r="O54" s="52"/>
      <c r="P54" s="53"/>
    </row>
    <row r="55" spans="1:16" ht="15" customHeight="1" x14ac:dyDescent="0.25">
      <c r="A55" s="248"/>
      <c r="B55" s="248"/>
      <c r="C55" s="248"/>
      <c r="D55" s="245" t="s">
        <v>223</v>
      </c>
      <c r="E55" s="245"/>
      <c r="F55" s="245"/>
      <c r="G55" s="246"/>
      <c r="H55" s="246"/>
      <c r="I55" s="247"/>
      <c r="J55" s="247"/>
      <c r="K55" s="247"/>
      <c r="L55" s="247"/>
      <c r="M55" s="52"/>
      <c r="N55" s="52" t="s">
        <v>53</v>
      </c>
      <c r="O55" s="52"/>
      <c r="P55" s="53"/>
    </row>
    <row r="56" spans="1:16" ht="15" customHeight="1" x14ac:dyDescent="0.25">
      <c r="A56" s="248"/>
      <c r="B56" s="248"/>
      <c r="C56" s="248"/>
      <c r="D56" s="245" t="s">
        <v>224</v>
      </c>
      <c r="E56" s="245"/>
      <c r="F56" s="245"/>
      <c r="G56" s="246"/>
      <c r="H56" s="246"/>
      <c r="I56" s="247"/>
      <c r="J56" s="247"/>
      <c r="K56" s="247"/>
      <c r="L56" s="247"/>
      <c r="M56" s="52"/>
      <c r="N56" s="52" t="s">
        <v>53</v>
      </c>
      <c r="O56" s="52"/>
      <c r="P56" s="53"/>
    </row>
    <row r="57" spans="1:16" ht="15" customHeight="1" x14ac:dyDescent="0.25">
      <c r="A57" s="248"/>
      <c r="B57" s="248"/>
      <c r="C57" s="248"/>
      <c r="D57" s="245" t="s">
        <v>225</v>
      </c>
      <c r="E57" s="245"/>
      <c r="F57" s="245"/>
      <c r="G57" s="246"/>
      <c r="H57" s="246"/>
      <c r="I57" s="247"/>
      <c r="J57" s="247"/>
      <c r="K57" s="247"/>
      <c r="L57" s="247"/>
      <c r="M57" s="52"/>
      <c r="N57" s="52"/>
      <c r="O57" s="52"/>
      <c r="P57" s="53"/>
    </row>
    <row r="58" spans="1:16" ht="15" customHeight="1" x14ac:dyDescent="0.25">
      <c r="A58" s="248"/>
      <c r="B58" s="248"/>
      <c r="C58" s="248"/>
      <c r="D58" s="245" t="s">
        <v>226</v>
      </c>
      <c r="E58" s="245"/>
      <c r="F58" s="245"/>
      <c r="G58" s="246"/>
      <c r="H58" s="246"/>
      <c r="I58" s="247"/>
      <c r="J58" s="247"/>
      <c r="K58" s="247"/>
      <c r="L58" s="247"/>
      <c r="M58" s="52"/>
      <c r="N58" s="52"/>
      <c r="O58" s="52"/>
      <c r="P58" s="53"/>
    </row>
    <row r="59" spans="1:16" ht="15" customHeight="1" x14ac:dyDescent="0.25">
      <c r="A59" s="248"/>
      <c r="B59" s="248"/>
      <c r="C59" s="248"/>
      <c r="D59" s="245" t="s">
        <v>227</v>
      </c>
      <c r="E59" s="245"/>
      <c r="F59" s="245"/>
      <c r="G59" s="246"/>
      <c r="H59" s="246"/>
      <c r="I59" s="247"/>
      <c r="J59" s="247"/>
      <c r="K59" s="247"/>
      <c r="L59" s="247"/>
      <c r="M59" s="52"/>
      <c r="N59" s="52"/>
      <c r="O59" s="52"/>
      <c r="P59" s="53"/>
    </row>
    <row r="60" spans="1:16" ht="15" customHeight="1" x14ac:dyDescent="0.25">
      <c r="A60" s="248"/>
      <c r="B60" s="248"/>
      <c r="C60" s="248"/>
      <c r="D60" s="245" t="s">
        <v>228</v>
      </c>
      <c r="E60" s="245"/>
      <c r="F60" s="245"/>
      <c r="G60" s="246"/>
      <c r="H60" s="246"/>
      <c r="I60" s="247"/>
      <c r="J60" s="247"/>
      <c r="K60" s="247"/>
      <c r="L60" s="247"/>
      <c r="M60" s="52"/>
      <c r="N60" s="52"/>
      <c r="O60" s="52"/>
      <c r="P60" s="53"/>
    </row>
    <row r="61" spans="1:16" ht="15" customHeight="1" x14ac:dyDescent="0.25">
      <c r="A61" s="248"/>
      <c r="B61" s="248"/>
      <c r="C61" s="248"/>
      <c r="D61" s="245" t="s">
        <v>229</v>
      </c>
      <c r="E61" s="245"/>
      <c r="F61" s="245"/>
      <c r="G61" s="246"/>
      <c r="H61" s="246"/>
      <c r="I61" s="247"/>
      <c r="J61" s="247"/>
      <c r="K61" s="247"/>
      <c r="L61" s="247"/>
      <c r="M61" s="52"/>
      <c r="N61" s="52"/>
      <c r="O61" s="52"/>
      <c r="P61" s="53"/>
    </row>
    <row r="62" spans="1:16" ht="15" customHeight="1" x14ac:dyDescent="0.25">
      <c r="A62" s="248"/>
      <c r="B62" s="248"/>
      <c r="C62" s="248"/>
      <c r="D62" s="245" t="s">
        <v>230</v>
      </c>
      <c r="E62" s="245"/>
      <c r="F62" s="245"/>
      <c r="G62" s="246"/>
      <c r="H62" s="246"/>
      <c r="I62" s="247"/>
      <c r="J62" s="247"/>
      <c r="K62" s="247"/>
      <c r="L62" s="247"/>
      <c r="M62" s="52"/>
      <c r="N62" s="52"/>
      <c r="O62" s="52" t="s">
        <v>53</v>
      </c>
      <c r="P62" s="53"/>
    </row>
    <row r="63" spans="1:16" ht="15" customHeight="1" x14ac:dyDescent="0.25">
      <c r="A63" s="248"/>
      <c r="B63" s="248"/>
      <c r="C63" s="248"/>
      <c r="D63" s="245" t="s">
        <v>231</v>
      </c>
      <c r="E63" s="245"/>
      <c r="F63" s="245"/>
      <c r="G63" s="246"/>
      <c r="H63" s="246"/>
      <c r="I63" s="247"/>
      <c r="J63" s="247"/>
      <c r="K63" s="247"/>
      <c r="L63" s="247"/>
      <c r="M63" s="52"/>
      <c r="N63" s="52"/>
      <c r="O63" s="52"/>
      <c r="P63" s="53"/>
    </row>
    <row r="64" spans="1:16" ht="15" customHeight="1" x14ac:dyDescent="0.25">
      <c r="A64" s="248"/>
      <c r="B64" s="248"/>
      <c r="C64" s="248"/>
      <c r="D64" s="245" t="s">
        <v>232</v>
      </c>
      <c r="E64" s="245"/>
      <c r="F64" s="245"/>
      <c r="G64" s="246"/>
      <c r="H64" s="246"/>
      <c r="I64" s="247"/>
      <c r="J64" s="247"/>
      <c r="K64" s="247"/>
      <c r="L64" s="247"/>
      <c r="M64" s="52"/>
      <c r="N64" s="52"/>
      <c r="O64" s="52"/>
      <c r="P64" s="53"/>
    </row>
    <row r="65" spans="1:16" ht="15" customHeight="1" x14ac:dyDescent="0.25">
      <c r="A65" s="248"/>
      <c r="B65" s="248"/>
      <c r="C65" s="248"/>
      <c r="D65" s="245" t="s">
        <v>233</v>
      </c>
      <c r="E65" s="245"/>
      <c r="F65" s="245"/>
      <c r="G65" s="246"/>
      <c r="H65" s="246"/>
      <c r="I65" s="247"/>
      <c r="J65" s="247"/>
      <c r="K65" s="247"/>
      <c r="L65" s="247"/>
      <c r="M65" s="52"/>
      <c r="N65" s="52"/>
      <c r="O65" s="52"/>
      <c r="P65" s="53"/>
    </row>
    <row r="66" spans="1:16" ht="15" customHeight="1" x14ac:dyDescent="0.25">
      <c r="A66" s="248"/>
      <c r="B66" s="248"/>
      <c r="C66" s="248"/>
      <c r="D66" s="245" t="s">
        <v>176</v>
      </c>
      <c r="E66" s="245"/>
      <c r="F66" s="245"/>
      <c r="G66" s="242"/>
      <c r="H66" s="242"/>
      <c r="I66" s="93"/>
      <c r="J66" s="93"/>
      <c r="K66" s="93"/>
      <c r="L66" s="93"/>
      <c r="M66" s="45"/>
      <c r="N66" s="45"/>
      <c r="O66" s="45"/>
      <c r="P66" s="53"/>
    </row>
    <row r="67" spans="1:16" ht="15.75" customHeight="1" x14ac:dyDescent="0.25">
      <c r="A67" s="238" t="s">
        <v>234</v>
      </c>
      <c r="B67" s="238"/>
      <c r="C67" s="238"/>
      <c r="D67" s="238"/>
      <c r="E67" s="238"/>
      <c r="F67" s="238"/>
      <c r="G67" s="239" t="s">
        <v>235</v>
      </c>
      <c r="H67" s="239"/>
      <c r="I67" s="240" t="s">
        <v>236</v>
      </c>
      <c r="J67" s="240"/>
      <c r="K67" s="240" t="s">
        <v>237</v>
      </c>
      <c r="L67" s="240"/>
      <c r="M67" s="240" t="s">
        <v>238</v>
      </c>
      <c r="N67" s="240" t="s">
        <v>239</v>
      </c>
      <c r="O67" s="240" t="s">
        <v>240</v>
      </c>
      <c r="P67" s="241"/>
    </row>
    <row r="68" spans="1:16" ht="263.25" customHeight="1" x14ac:dyDescent="0.25">
      <c r="A68" s="238"/>
      <c r="B68" s="238"/>
      <c r="C68" s="238"/>
      <c r="D68" s="238"/>
      <c r="E68" s="238"/>
      <c r="F68" s="238"/>
      <c r="G68" s="239"/>
      <c r="H68" s="239"/>
      <c r="I68" s="240"/>
      <c r="J68" s="240"/>
      <c r="K68" s="240"/>
      <c r="L68" s="240"/>
      <c r="M68" s="240"/>
      <c r="N68" s="240"/>
      <c r="O68" s="240"/>
      <c r="P68" s="241"/>
    </row>
    <row r="69" spans="1:16" ht="12" customHeight="1" x14ac:dyDescent="0.25">
      <c r="A69" s="238"/>
      <c r="B69" s="238"/>
      <c r="C69" s="238"/>
      <c r="D69" s="238"/>
      <c r="E69" s="238"/>
      <c r="F69" s="238"/>
      <c r="G69" s="242"/>
      <c r="H69" s="242"/>
      <c r="I69" s="93"/>
      <c r="J69" s="93"/>
      <c r="K69" s="93"/>
      <c r="L69" s="93"/>
      <c r="M69" s="93"/>
      <c r="N69" s="93"/>
      <c r="O69" s="93"/>
      <c r="P69" s="241"/>
    </row>
    <row r="70" spans="1:16" ht="10.5" customHeight="1" x14ac:dyDescent="0.25">
      <c r="A70" s="238"/>
      <c r="B70" s="238"/>
      <c r="C70" s="238"/>
      <c r="D70" s="238"/>
      <c r="E70" s="238"/>
      <c r="F70" s="238"/>
      <c r="G70" s="242"/>
      <c r="H70" s="242"/>
      <c r="I70" s="93"/>
      <c r="J70" s="93"/>
      <c r="K70" s="93"/>
      <c r="L70" s="93"/>
      <c r="M70" s="93"/>
      <c r="N70" s="93"/>
      <c r="O70" s="93"/>
      <c r="P70" s="241"/>
    </row>
    <row r="71" spans="1:16" ht="20.25" customHeight="1" x14ac:dyDescent="0.25">
      <c r="A71" s="238"/>
      <c r="B71" s="238"/>
      <c r="C71" s="238"/>
      <c r="D71" s="238"/>
      <c r="E71" s="238"/>
      <c r="F71" s="238"/>
      <c r="G71" s="243"/>
      <c r="H71" s="243"/>
      <c r="I71" s="244"/>
      <c r="J71" s="244"/>
      <c r="K71" s="244"/>
      <c r="L71" s="244"/>
      <c r="M71" s="55"/>
      <c r="N71" s="55"/>
      <c r="O71" s="55"/>
      <c r="P71" s="56"/>
    </row>
    <row r="72" spans="1:16" ht="15.75" customHeight="1" x14ac:dyDescent="0.25"/>
  </sheetData>
  <mergeCells count="283"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</mergeCells>
  <pageMargins left="0.25" right="0.25" top="0.75" bottom="0.75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  <pageSetUpPr fitToPage="1"/>
  </sheetPr>
  <dimension ref="A1:BO41"/>
  <sheetViews>
    <sheetView topLeftCell="B1" zoomScale="130" zoomScaleNormal="130" workbookViewId="0">
      <selection activeCell="B19" sqref="A17:L19"/>
    </sheetView>
  </sheetViews>
  <sheetFormatPr baseColWidth="10" defaultColWidth="11.42578125" defaultRowHeight="15" x14ac:dyDescent="0.25"/>
  <cols>
    <col min="1" max="1" width="0.5703125" style="2" hidden="1" customWidth="1"/>
    <col min="2" max="9" width="2.7109375" customWidth="1"/>
    <col min="10" max="10" width="3.5703125" customWidth="1"/>
    <col min="11" max="11" width="4.140625" customWidth="1"/>
    <col min="12" max="12" width="7.42578125" customWidth="1"/>
    <col min="13" max="21" width="2.7109375" customWidth="1"/>
    <col min="22" max="23" width="4" customWidth="1"/>
    <col min="24" max="24" width="3.7109375" customWidth="1"/>
    <col min="25" max="25" width="4.42578125" customWidth="1"/>
    <col min="26" max="27" width="2.85546875" customWidth="1"/>
    <col min="28" max="28" width="4.140625" customWidth="1"/>
    <col min="29" max="31" width="2.85546875" customWidth="1"/>
    <col min="32" max="35" width="3" customWidth="1"/>
    <col min="36" max="37" width="2.85546875" customWidth="1"/>
    <col min="38" max="38" width="3.85546875" customWidth="1"/>
    <col min="39" max="39" width="3.5703125" customWidth="1"/>
    <col min="40" max="41" width="3.42578125" customWidth="1"/>
    <col min="42" max="48" width="2.7109375" customWidth="1"/>
    <col min="49" max="49" width="2.5703125" customWidth="1"/>
    <col min="50" max="50" width="3.85546875" customWidth="1"/>
    <col min="51" max="51" width="2.7109375" customWidth="1"/>
    <col min="52" max="52" width="2.5703125" customWidth="1"/>
    <col min="53" max="53" width="2.7109375" hidden="1" customWidth="1"/>
    <col min="54" max="54" width="2.28515625" customWidth="1"/>
    <col min="55" max="55" width="0.85546875" customWidth="1"/>
    <col min="56" max="56" width="1" customWidth="1"/>
    <col min="57" max="63" width="2.7109375" customWidth="1"/>
    <col min="64" max="65" width="4" customWidth="1"/>
  </cols>
  <sheetData>
    <row r="1" spans="1:66" s="57" customFormat="1" ht="19.5" customHeight="1" x14ac:dyDescent="0.2">
      <c r="B1" s="123" t="s">
        <v>241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</row>
    <row r="2" spans="1:66" s="57" customFormat="1" ht="19.5" customHeight="1" x14ac:dyDescent="0.2">
      <c r="B2" s="325" t="s">
        <v>242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</row>
    <row r="3" spans="1:66" s="57" customFormat="1" ht="24" customHeight="1" x14ac:dyDescent="0.2">
      <c r="B3" s="326" t="s">
        <v>243</v>
      </c>
      <c r="C3" s="326"/>
      <c r="D3" s="326"/>
      <c r="E3" s="326"/>
      <c r="F3" s="326"/>
      <c r="G3" s="326"/>
      <c r="H3" s="326"/>
      <c r="I3" s="326"/>
      <c r="J3" s="327" t="s">
        <v>244</v>
      </c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8" t="s">
        <v>245</v>
      </c>
      <c r="X3" s="328"/>
      <c r="Y3" s="328"/>
      <c r="Z3" s="328"/>
      <c r="AA3" s="328"/>
      <c r="AB3" s="328"/>
      <c r="AC3" s="328" t="s">
        <v>246</v>
      </c>
      <c r="AD3" s="328"/>
      <c r="AE3" s="328"/>
      <c r="AF3" s="328"/>
      <c r="AG3" s="328"/>
      <c r="AH3" s="328"/>
      <c r="AI3" s="328"/>
      <c r="AJ3" s="328"/>
      <c r="AK3" s="329" t="s">
        <v>247</v>
      </c>
      <c r="AL3" s="329"/>
      <c r="AM3" s="329"/>
      <c r="AN3" s="329"/>
      <c r="AO3" s="329"/>
      <c r="AP3" s="329"/>
      <c r="AQ3" s="329"/>
      <c r="AR3" s="329"/>
      <c r="AS3" s="329"/>
      <c r="AT3" s="329"/>
      <c r="AU3" s="329"/>
      <c r="AV3" s="329"/>
      <c r="AW3" s="329"/>
      <c r="AX3" s="329"/>
      <c r="AY3" s="329"/>
      <c r="AZ3" s="329"/>
      <c r="BA3" s="329"/>
      <c r="BB3" s="329"/>
      <c r="BC3" s="329"/>
      <c r="BD3" s="329"/>
      <c r="BE3" s="329"/>
      <c r="BF3" s="329"/>
      <c r="BG3" s="329"/>
      <c r="BH3" s="329"/>
      <c r="BI3" s="329"/>
      <c r="BJ3" s="329"/>
      <c r="BK3" s="329"/>
      <c r="BL3" s="329"/>
      <c r="BM3" s="329"/>
    </row>
    <row r="4" spans="1:66" s="57" customFormat="1" ht="42.75" customHeight="1" x14ac:dyDescent="0.2">
      <c r="B4" s="326"/>
      <c r="C4" s="326"/>
      <c r="D4" s="326"/>
      <c r="E4" s="326"/>
      <c r="F4" s="326"/>
      <c r="G4" s="326"/>
      <c r="H4" s="326"/>
      <c r="I4" s="326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30" t="s">
        <v>248</v>
      </c>
      <c r="X4" s="330"/>
      <c r="Y4" s="330" t="s">
        <v>249</v>
      </c>
      <c r="Z4" s="330"/>
      <c r="AA4" s="330" t="s">
        <v>250</v>
      </c>
      <c r="AB4" s="330"/>
      <c r="AC4" s="330" t="s">
        <v>251</v>
      </c>
      <c r="AD4" s="330"/>
      <c r="AE4" s="330" t="s">
        <v>252</v>
      </c>
      <c r="AF4" s="330"/>
      <c r="AG4" s="330"/>
      <c r="AH4" s="330" t="s">
        <v>253</v>
      </c>
      <c r="AI4" s="330"/>
      <c r="AJ4" s="330"/>
      <c r="AK4" s="331" t="s">
        <v>254</v>
      </c>
      <c r="AL4" s="331"/>
      <c r="AM4" s="331" t="s">
        <v>255</v>
      </c>
      <c r="AN4" s="331"/>
      <c r="AO4" s="331" t="s">
        <v>256</v>
      </c>
      <c r="AP4" s="331"/>
      <c r="AQ4" s="331"/>
      <c r="AR4" s="332" t="s">
        <v>257</v>
      </c>
      <c r="AS4" s="332"/>
      <c r="AT4" s="332"/>
      <c r="AU4" s="332"/>
      <c r="AV4" s="332"/>
      <c r="AW4" s="332"/>
      <c r="AX4" s="332"/>
      <c r="AY4" s="332"/>
      <c r="AZ4" s="332"/>
      <c r="BA4" s="332"/>
      <c r="BB4" s="332"/>
      <c r="BC4" s="332"/>
      <c r="BD4" s="332"/>
      <c r="BE4" s="333" t="s">
        <v>258</v>
      </c>
      <c r="BF4" s="333"/>
      <c r="BG4" s="333"/>
      <c r="BH4" s="333"/>
      <c r="BI4" s="333"/>
      <c r="BJ4" s="333"/>
      <c r="BK4" s="333"/>
      <c r="BL4" s="333"/>
      <c r="BM4" s="333"/>
    </row>
    <row r="5" spans="1:66" s="57" customFormat="1" ht="13.5" customHeight="1" x14ac:dyDescent="0.2">
      <c r="B5" s="326"/>
      <c r="C5" s="326"/>
      <c r="D5" s="326"/>
      <c r="E5" s="326"/>
      <c r="F5" s="326"/>
      <c r="G5" s="326"/>
      <c r="H5" s="326"/>
      <c r="I5" s="326"/>
      <c r="J5" s="327"/>
      <c r="K5" s="327"/>
      <c r="L5" s="327"/>
      <c r="M5" s="327"/>
      <c r="N5" s="327"/>
      <c r="O5" s="327"/>
      <c r="P5" s="327"/>
      <c r="Q5" s="327"/>
      <c r="R5" s="327"/>
      <c r="S5" s="327"/>
      <c r="T5" s="327"/>
      <c r="U5" s="327"/>
      <c r="V5" s="327"/>
      <c r="W5" s="330"/>
      <c r="X5" s="330"/>
      <c r="Y5" s="330"/>
      <c r="Z5" s="330"/>
      <c r="AA5" s="330"/>
      <c r="AB5" s="330"/>
      <c r="AC5" s="330"/>
      <c r="AD5" s="330"/>
      <c r="AE5" s="330"/>
      <c r="AF5" s="330"/>
      <c r="AG5" s="330"/>
      <c r="AH5" s="330"/>
      <c r="AI5" s="330"/>
      <c r="AJ5" s="330"/>
      <c r="AK5" s="331"/>
      <c r="AL5" s="331"/>
      <c r="AM5" s="331"/>
      <c r="AN5" s="331"/>
      <c r="AO5" s="331"/>
      <c r="AP5" s="331"/>
      <c r="AQ5" s="331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3"/>
      <c r="BF5" s="333"/>
      <c r="BG5" s="333"/>
      <c r="BH5" s="333"/>
      <c r="BI5" s="333"/>
      <c r="BJ5" s="333"/>
      <c r="BK5" s="333"/>
      <c r="BL5" s="333"/>
      <c r="BM5" s="333"/>
    </row>
    <row r="6" spans="1:66" s="57" customFormat="1" ht="13.5" customHeight="1" x14ac:dyDescent="0.2">
      <c r="B6" s="323"/>
      <c r="C6" s="323"/>
      <c r="D6" s="323"/>
      <c r="E6" s="323"/>
      <c r="F6" s="323"/>
      <c r="G6" s="323"/>
      <c r="H6" s="323"/>
      <c r="I6" s="323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4"/>
      <c r="AB6" s="324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  <c r="AR6" s="321"/>
      <c r="AS6" s="321"/>
      <c r="AT6" s="321"/>
      <c r="AU6" s="321"/>
      <c r="AV6" s="321"/>
      <c r="AW6" s="321"/>
      <c r="AX6" s="321"/>
      <c r="AY6" s="321"/>
      <c r="AZ6" s="321"/>
      <c r="BA6" s="321"/>
      <c r="BB6" s="321"/>
      <c r="BC6" s="321"/>
      <c r="BD6" s="321"/>
      <c r="BE6" s="322"/>
      <c r="BF6" s="322"/>
      <c r="BG6" s="322"/>
      <c r="BH6" s="322"/>
      <c r="BI6" s="322"/>
      <c r="BJ6" s="322"/>
      <c r="BK6" s="322"/>
      <c r="BL6" s="322"/>
      <c r="BM6" s="322"/>
    </row>
    <row r="7" spans="1:66" s="57" customFormat="1" ht="13.5" customHeight="1" x14ac:dyDescent="0.2">
      <c r="B7" s="323"/>
      <c r="C7" s="323"/>
      <c r="D7" s="323"/>
      <c r="E7" s="323"/>
      <c r="F7" s="323"/>
      <c r="G7" s="323"/>
      <c r="H7" s="323"/>
      <c r="I7" s="323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321"/>
      <c r="AZ7" s="321"/>
      <c r="BA7" s="321"/>
      <c r="BB7" s="321"/>
      <c r="BC7" s="321"/>
      <c r="BD7" s="321"/>
      <c r="BE7" s="322"/>
      <c r="BF7" s="322"/>
      <c r="BG7" s="322"/>
      <c r="BH7" s="322"/>
      <c r="BI7" s="322"/>
      <c r="BJ7" s="322"/>
      <c r="BK7" s="322"/>
      <c r="BL7" s="322"/>
      <c r="BM7" s="322"/>
    </row>
    <row r="8" spans="1:66" ht="18" customHeight="1" x14ac:dyDescent="0.25">
      <c r="A8" s="58"/>
      <c r="B8" s="123" t="s">
        <v>259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</row>
    <row r="9" spans="1:66" ht="25.5" customHeight="1" x14ac:dyDescent="0.25">
      <c r="A9" s="314" t="s">
        <v>260</v>
      </c>
      <c r="B9" s="314"/>
      <c r="C9" s="314"/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59"/>
      <c r="AZ9" s="60"/>
      <c r="BA9" s="315" t="s">
        <v>261</v>
      </c>
      <c r="BB9" s="315"/>
      <c r="BC9" s="315"/>
      <c r="BD9" s="315"/>
      <c r="BE9" s="315"/>
      <c r="BF9" s="315"/>
      <c r="BG9" s="315"/>
      <c r="BH9" s="315"/>
      <c r="BI9" s="315"/>
      <c r="BJ9" s="315"/>
      <c r="BK9" s="315"/>
      <c r="BL9" s="315"/>
      <c r="BM9" s="315"/>
    </row>
    <row r="10" spans="1:66" ht="19.5" customHeight="1" x14ac:dyDescent="0.25">
      <c r="A10" s="61"/>
      <c r="B10" s="316" t="s">
        <v>262</v>
      </c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7"/>
      <c r="BB10" s="317"/>
      <c r="BC10" s="317"/>
      <c r="BD10" s="317"/>
      <c r="BE10" s="317"/>
      <c r="BF10" s="317"/>
      <c r="BG10" s="317"/>
      <c r="BH10" s="317"/>
      <c r="BI10" s="317"/>
      <c r="BJ10" s="317"/>
      <c r="BK10" s="317"/>
      <c r="BL10" s="317"/>
      <c r="BM10" s="317"/>
    </row>
    <row r="11" spans="1:66" ht="6.75" customHeight="1" x14ac:dyDescent="0.25">
      <c r="A11" s="38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</row>
    <row r="12" spans="1:66" ht="7.5" customHeight="1" x14ac:dyDescent="0.25">
      <c r="A12" s="38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18"/>
      <c r="BK12" s="318"/>
      <c r="BL12" s="318"/>
      <c r="BM12" s="318"/>
    </row>
    <row r="13" spans="1:66" ht="16.5" customHeight="1" x14ac:dyDescent="0.25">
      <c r="B13" s="110" t="s">
        <v>263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</row>
    <row r="14" spans="1:66" ht="16.5" customHeight="1" x14ac:dyDescent="0.25">
      <c r="B14" s="319" t="s">
        <v>264</v>
      </c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 t="s">
        <v>265</v>
      </c>
      <c r="N14" s="320"/>
      <c r="O14" s="320"/>
      <c r="P14" s="320"/>
      <c r="Q14" s="320"/>
      <c r="R14" s="320"/>
      <c r="S14" s="320"/>
      <c r="T14" s="292" t="s">
        <v>266</v>
      </c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</row>
    <row r="15" spans="1:66" ht="16.5" customHeight="1" x14ac:dyDescent="0.25">
      <c r="A15" s="64"/>
      <c r="B15" s="307" t="s">
        <v>267</v>
      </c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0"/>
      <c r="N15" s="300"/>
      <c r="O15" s="300"/>
      <c r="P15" s="300"/>
      <c r="Q15" s="300"/>
      <c r="R15" s="300"/>
      <c r="S15" s="300"/>
      <c r="T15" s="308"/>
      <c r="U15" s="308"/>
      <c r="V15" s="308"/>
      <c r="W15" s="308"/>
      <c r="X15" s="308"/>
      <c r="Y15" s="308"/>
      <c r="Z15" s="308"/>
      <c r="AA15" s="308"/>
      <c r="AB15" s="308"/>
      <c r="AC15" s="308"/>
      <c r="AD15" s="308"/>
      <c r="AE15" s="308"/>
      <c r="AF15" s="308"/>
      <c r="AG15" s="308"/>
      <c r="AH15" s="308"/>
      <c r="AI15" s="308"/>
      <c r="AJ15" s="308"/>
      <c r="AK15" s="308"/>
      <c r="AL15" s="308"/>
      <c r="AM15" s="308"/>
      <c r="AN15" s="308"/>
      <c r="AO15" s="308"/>
      <c r="AP15" s="308"/>
      <c r="AQ15" s="308"/>
      <c r="AR15" s="308"/>
      <c r="AS15" s="308"/>
      <c r="AT15" s="308"/>
      <c r="AU15" s="308"/>
      <c r="AV15" s="308"/>
      <c r="AW15" s="308"/>
      <c r="AX15" s="308"/>
      <c r="AY15" s="308"/>
      <c r="AZ15" s="308"/>
      <c r="BA15" s="308"/>
      <c r="BB15" s="308"/>
      <c r="BC15" s="308"/>
      <c r="BD15" s="308"/>
      <c r="BE15" s="308"/>
      <c r="BF15" s="308"/>
      <c r="BG15" s="308"/>
      <c r="BH15" s="308"/>
      <c r="BI15" s="308"/>
      <c r="BJ15" s="308"/>
      <c r="BK15" s="308"/>
      <c r="BL15" s="308"/>
      <c r="BM15" s="308"/>
      <c r="BN15" s="7"/>
    </row>
    <row r="16" spans="1:66" ht="16.5" customHeight="1" x14ac:dyDescent="0.25">
      <c r="A16" s="64"/>
      <c r="B16" s="309" t="s">
        <v>268</v>
      </c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0"/>
      <c r="N16" s="300"/>
      <c r="O16" s="300"/>
      <c r="P16" s="300"/>
      <c r="Q16" s="300"/>
      <c r="R16" s="300"/>
      <c r="S16" s="300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7"/>
    </row>
    <row r="17" spans="1:67" ht="16.5" customHeight="1" x14ac:dyDescent="0.25">
      <c r="A17" s="92"/>
      <c r="B17" s="310" t="s">
        <v>269</v>
      </c>
      <c r="C17" s="311"/>
      <c r="D17" s="311"/>
      <c r="E17" s="311"/>
      <c r="F17" s="311"/>
      <c r="G17" s="311"/>
      <c r="H17" s="311"/>
      <c r="I17" s="311"/>
      <c r="J17" s="311"/>
      <c r="K17" s="311"/>
      <c r="L17" s="312"/>
      <c r="M17" s="299"/>
      <c r="N17" s="300"/>
      <c r="O17" s="300"/>
      <c r="P17" s="300"/>
      <c r="Q17" s="300"/>
      <c r="R17" s="300"/>
      <c r="S17" s="300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3"/>
      <c r="BE17" s="313"/>
      <c r="BF17" s="313"/>
      <c r="BG17" s="313"/>
      <c r="BH17" s="313"/>
      <c r="BI17" s="313"/>
      <c r="BJ17" s="313"/>
      <c r="BK17" s="313"/>
      <c r="BL17" s="313"/>
      <c r="BM17" s="313"/>
      <c r="BN17" s="65"/>
      <c r="BO17" s="65"/>
    </row>
    <row r="18" spans="1:67" ht="16.5" customHeight="1" x14ac:dyDescent="0.25">
      <c r="A18" s="296" t="s">
        <v>270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8"/>
      <c r="M18" s="299"/>
      <c r="N18" s="300"/>
      <c r="O18" s="300"/>
      <c r="P18" s="300"/>
      <c r="Q18" s="300"/>
      <c r="R18" s="300"/>
      <c r="S18" s="300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  <c r="BB18" s="301"/>
      <c r="BC18" s="301"/>
      <c r="BD18" s="301"/>
      <c r="BE18" s="301"/>
      <c r="BF18" s="301"/>
      <c r="BG18" s="301"/>
      <c r="BH18" s="301"/>
      <c r="BI18" s="301"/>
      <c r="BJ18" s="301"/>
      <c r="BK18" s="301"/>
      <c r="BL18" s="301"/>
      <c r="BM18" s="301"/>
    </row>
    <row r="19" spans="1:67" ht="16.5" customHeight="1" x14ac:dyDescent="0.25">
      <c r="A19" s="64"/>
      <c r="B19" s="302" t="s">
        <v>271</v>
      </c>
      <c r="C19" s="302"/>
      <c r="D19" s="302"/>
      <c r="E19" s="302"/>
      <c r="F19" s="302"/>
      <c r="G19" s="302"/>
      <c r="H19" s="302"/>
      <c r="I19" s="302"/>
      <c r="J19" s="302"/>
      <c r="K19" s="302"/>
      <c r="L19" s="303"/>
      <c r="M19" s="299"/>
      <c r="N19" s="300"/>
      <c r="O19" s="300"/>
      <c r="P19" s="300"/>
      <c r="Q19" s="300"/>
      <c r="R19" s="300"/>
      <c r="S19" s="300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  <c r="BB19" s="301"/>
      <c r="BC19" s="301"/>
      <c r="BD19" s="301"/>
      <c r="BE19" s="301"/>
      <c r="BF19" s="301"/>
      <c r="BG19" s="301"/>
      <c r="BH19" s="301"/>
      <c r="BI19" s="301"/>
      <c r="BJ19" s="301"/>
      <c r="BK19" s="301"/>
      <c r="BL19" s="301"/>
      <c r="BM19" s="301"/>
    </row>
    <row r="20" spans="1:67" ht="50.25" customHeight="1" x14ac:dyDescent="0.25">
      <c r="B20" s="304" t="s">
        <v>272</v>
      </c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4"/>
      <c r="AH20" s="304"/>
      <c r="AI20" s="304"/>
      <c r="AJ20" s="304"/>
      <c r="AK20" s="304"/>
      <c r="AL20" s="304"/>
      <c r="AM20" s="304"/>
      <c r="AN20" s="304"/>
      <c r="AO20" s="304"/>
      <c r="AP20" s="304"/>
      <c r="AQ20" s="304"/>
      <c r="AR20" s="304"/>
      <c r="AS20" s="304"/>
      <c r="AT20" s="304"/>
      <c r="AU20" s="304"/>
      <c r="AV20" s="304"/>
      <c r="AW20" s="304"/>
      <c r="AX20" s="304"/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304"/>
      <c r="BL20" s="304"/>
      <c r="BM20" s="304"/>
    </row>
    <row r="21" spans="1:67" ht="8.25" customHeight="1" x14ac:dyDescent="0.25"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  <c r="AL21" s="305"/>
      <c r="AM21" s="305"/>
      <c r="AN21" s="305"/>
      <c r="AO21" s="305"/>
      <c r="AP21" s="305"/>
      <c r="AQ21" s="305"/>
      <c r="AR21" s="305"/>
      <c r="AS21" s="305"/>
      <c r="AT21" s="305"/>
      <c r="AU21" s="305"/>
      <c r="AV21" s="305"/>
      <c r="AW21" s="305"/>
      <c r="AX21" s="305"/>
      <c r="AY21" s="305"/>
      <c r="AZ21" s="305"/>
      <c r="BA21" s="305"/>
      <c r="BB21" s="305"/>
      <c r="BC21" s="305"/>
      <c r="BD21" s="305"/>
      <c r="BE21" s="305"/>
      <c r="BF21" s="305"/>
      <c r="BG21" s="305"/>
      <c r="BH21" s="305"/>
      <c r="BI21" s="305"/>
      <c r="BJ21" s="305"/>
      <c r="BK21" s="305"/>
      <c r="BL21" s="305"/>
      <c r="BM21" s="305"/>
    </row>
    <row r="22" spans="1:67" ht="16.5" customHeight="1" x14ac:dyDescent="0.25">
      <c r="B22" s="306" t="s">
        <v>273</v>
      </c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6"/>
      <c r="BD22" s="306"/>
      <c r="BE22" s="306"/>
      <c r="BF22" s="306"/>
      <c r="BG22" s="306"/>
      <c r="BH22" s="306"/>
      <c r="BI22" s="306"/>
      <c r="BJ22" s="306"/>
      <c r="BK22" s="306"/>
      <c r="BL22" s="306"/>
      <c r="BM22" s="306"/>
    </row>
    <row r="23" spans="1:67" ht="16.5" customHeight="1" x14ac:dyDescent="0.25">
      <c r="B23" s="290" t="s">
        <v>274</v>
      </c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86" t="s">
        <v>275</v>
      </c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91" t="s">
        <v>276</v>
      </c>
      <c r="BF23" s="291"/>
      <c r="BG23" s="291"/>
      <c r="BH23" s="291"/>
      <c r="BI23" s="291"/>
      <c r="BJ23" s="292" t="s">
        <v>277</v>
      </c>
      <c r="BK23" s="292"/>
      <c r="BL23" s="292"/>
      <c r="BM23" s="292"/>
    </row>
    <row r="24" spans="1:67" ht="16.5" customHeight="1" x14ac:dyDescent="0.25">
      <c r="B24" s="293" t="s">
        <v>278</v>
      </c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 t="s">
        <v>279</v>
      </c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93"/>
      <c r="BF24" s="93"/>
      <c r="BG24" s="93"/>
      <c r="BH24" s="93"/>
      <c r="BI24" s="93"/>
      <c r="BJ24" s="295" t="s">
        <v>53</v>
      </c>
      <c r="BK24" s="295"/>
      <c r="BL24" s="295"/>
      <c r="BM24" s="295"/>
    </row>
    <row r="25" spans="1:67" ht="16.5" customHeight="1" x14ac:dyDescent="0.25">
      <c r="B25" s="282" t="s">
        <v>280</v>
      </c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94" t="s">
        <v>281</v>
      </c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93"/>
      <c r="BF25" s="93"/>
      <c r="BG25" s="93"/>
      <c r="BH25" s="93"/>
      <c r="BI25" s="93"/>
      <c r="BJ25" s="295" t="s">
        <v>53</v>
      </c>
      <c r="BK25" s="295"/>
      <c r="BL25" s="295"/>
      <c r="BM25" s="295"/>
    </row>
    <row r="26" spans="1:67" ht="16.5" customHeight="1" x14ac:dyDescent="0.25">
      <c r="B26" s="282">
        <v>3</v>
      </c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93"/>
      <c r="BF26" s="93"/>
      <c r="BG26" s="93"/>
      <c r="BH26" s="93"/>
      <c r="BI26" s="93"/>
      <c r="BJ26" s="241"/>
      <c r="BK26" s="241"/>
      <c r="BL26" s="241"/>
      <c r="BM26" s="241"/>
    </row>
    <row r="27" spans="1:67" ht="16.5" customHeight="1" x14ac:dyDescent="0.25">
      <c r="B27" s="110" t="s">
        <v>282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</row>
    <row r="28" spans="1:67" ht="24" customHeight="1" x14ac:dyDescent="0.25">
      <c r="B28" s="284" t="s">
        <v>283</v>
      </c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5"/>
      <c r="Q28" s="285"/>
      <c r="R28" s="286" t="s">
        <v>284</v>
      </c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7"/>
      <c r="AF28" s="287"/>
      <c r="AG28" s="286" t="s">
        <v>285</v>
      </c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8"/>
      <c r="AT28" s="288"/>
      <c r="AU28" s="286" t="s">
        <v>286</v>
      </c>
      <c r="AV28" s="286"/>
      <c r="AW28" s="286"/>
      <c r="AX28" s="286"/>
      <c r="AY28" s="286"/>
      <c r="AZ28" s="286"/>
      <c r="BA28" s="66"/>
      <c r="BB28" s="289" t="s">
        <v>53</v>
      </c>
      <c r="BC28" s="289"/>
      <c r="BD28" s="289"/>
      <c r="BE28" s="289"/>
      <c r="BF28" s="289"/>
      <c r="BG28" s="289"/>
      <c r="BH28" s="289"/>
      <c r="BI28" s="289"/>
      <c r="BJ28" s="289"/>
      <c r="BK28" s="289"/>
      <c r="BL28" s="289"/>
      <c r="BM28" s="289"/>
    </row>
    <row r="29" spans="1:67" ht="69.75" customHeight="1" x14ac:dyDescent="0.25">
      <c r="B29" s="275" t="s">
        <v>287</v>
      </c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5"/>
      <c r="BL29" s="275"/>
      <c r="BM29" s="275"/>
    </row>
    <row r="30" spans="1:67" ht="18.75" customHeight="1" x14ac:dyDescent="0.25">
      <c r="B30" s="276" t="s">
        <v>288</v>
      </c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6"/>
      <c r="BK30" s="276"/>
      <c r="BL30" s="276"/>
      <c r="BM30" s="276"/>
    </row>
    <row r="31" spans="1:67" ht="12" customHeight="1" x14ac:dyDescent="0.25"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</row>
    <row r="32" spans="1:67" ht="15" customHeight="1" x14ac:dyDescent="0.25">
      <c r="B32" s="110" t="s">
        <v>289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</row>
    <row r="33" spans="2:65" ht="17.25" customHeight="1" x14ac:dyDescent="0.3">
      <c r="B33" s="277" t="s">
        <v>290</v>
      </c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7"/>
      <c r="BI33" s="277"/>
      <c r="BJ33" s="277"/>
      <c r="BK33" s="277"/>
      <c r="BL33" s="277"/>
      <c r="BM33" s="277"/>
    </row>
    <row r="34" spans="2:65" ht="213" customHeight="1" x14ac:dyDescent="0.25">
      <c r="B34" s="278" t="s">
        <v>291</v>
      </c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  <c r="AM34" s="278"/>
      <c r="AN34" s="278"/>
      <c r="AO34" s="278"/>
      <c r="AP34" s="278"/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A34" s="278"/>
      <c r="BB34" s="278"/>
      <c r="BC34" s="278"/>
      <c r="BD34" s="278"/>
      <c r="BE34" s="278"/>
      <c r="BF34" s="278"/>
      <c r="BG34" s="278"/>
      <c r="BH34" s="278"/>
      <c r="BI34" s="278"/>
      <c r="BJ34" s="278"/>
      <c r="BK34" s="278"/>
      <c r="BL34" s="278"/>
      <c r="BM34" s="278"/>
    </row>
    <row r="35" spans="2:65" ht="15" customHeight="1" x14ac:dyDescent="0.25">
      <c r="B35" s="110" t="s">
        <v>292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</row>
    <row r="36" spans="2:65" ht="15" customHeight="1" x14ac:dyDescent="0.25">
      <c r="B36" s="279" t="s">
        <v>293</v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80" t="s">
        <v>254</v>
      </c>
      <c r="X36" s="280"/>
      <c r="Y36" s="280"/>
      <c r="Z36" s="280"/>
      <c r="AA36" s="280"/>
      <c r="AB36" s="280"/>
      <c r="AC36" s="280"/>
      <c r="AD36" s="280"/>
      <c r="AE36" s="280"/>
      <c r="AF36" s="280"/>
      <c r="AG36" s="281"/>
      <c r="AH36" s="281"/>
      <c r="AI36" s="280" t="s">
        <v>255</v>
      </c>
      <c r="AJ36" s="280"/>
      <c r="AK36" s="280"/>
      <c r="AL36" s="280"/>
      <c r="AM36" s="280"/>
      <c r="AN36" s="280"/>
      <c r="AO36" s="280"/>
      <c r="AP36" s="280"/>
      <c r="AQ36" s="280"/>
      <c r="AR36" s="280"/>
      <c r="AS36" s="280"/>
      <c r="AT36" s="280"/>
      <c r="AU36" s="280"/>
      <c r="AV36" s="280"/>
      <c r="AW36" s="265"/>
      <c r="AX36" s="265"/>
      <c r="AY36" s="265"/>
      <c r="AZ36" s="265"/>
      <c r="BA36" s="265"/>
      <c r="BB36" s="265"/>
      <c r="BC36" s="265"/>
      <c r="BD36" s="265"/>
      <c r="BE36" s="265"/>
      <c r="BF36" s="265"/>
      <c r="BG36" s="265"/>
      <c r="BH36" s="265"/>
      <c r="BI36" s="265"/>
      <c r="BJ36" s="265"/>
      <c r="BK36" s="265"/>
      <c r="BL36" s="265"/>
      <c r="BM36" s="265"/>
    </row>
    <row r="37" spans="2:65" ht="15" customHeight="1" x14ac:dyDescent="0.25">
      <c r="B37" s="263" t="s">
        <v>294</v>
      </c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4" t="s">
        <v>254</v>
      </c>
      <c r="X37" s="264"/>
      <c r="Y37" s="264"/>
      <c r="Z37" s="264"/>
      <c r="AA37" s="264"/>
      <c r="AB37" s="264"/>
      <c r="AC37" s="264"/>
      <c r="AD37" s="264"/>
      <c r="AE37" s="264"/>
      <c r="AF37" s="264"/>
      <c r="AG37" s="93"/>
      <c r="AH37" s="93"/>
      <c r="AI37" s="264" t="s">
        <v>255</v>
      </c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5"/>
      <c r="AX37" s="265"/>
      <c r="AY37" s="265"/>
      <c r="AZ37" s="265"/>
      <c r="BA37" s="265"/>
      <c r="BB37" s="265"/>
      <c r="BC37" s="265"/>
      <c r="BD37" s="265"/>
      <c r="BE37" s="265"/>
      <c r="BF37" s="265"/>
      <c r="BG37" s="265"/>
      <c r="BH37" s="265"/>
      <c r="BI37" s="265"/>
      <c r="BJ37" s="265"/>
      <c r="BK37" s="265"/>
      <c r="BL37" s="265"/>
      <c r="BM37" s="265"/>
    </row>
    <row r="38" spans="2:65" ht="16.5" customHeight="1" x14ac:dyDescent="0.25">
      <c r="B38" s="266" t="s">
        <v>295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</row>
    <row r="39" spans="2:65" ht="15" customHeight="1" x14ac:dyDescent="0.25">
      <c r="B39" s="110" t="s">
        <v>296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267"/>
      <c r="AU39" s="110" t="s">
        <v>297</v>
      </c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2:65" ht="24.75" customHeight="1" x14ac:dyDescent="0.25">
      <c r="B40" s="268" t="s">
        <v>298</v>
      </c>
      <c r="C40" s="268"/>
      <c r="D40" s="268"/>
      <c r="E40" s="268"/>
      <c r="F40" s="268"/>
      <c r="G40" s="268"/>
      <c r="H40" s="268"/>
      <c r="I40" s="268"/>
      <c r="J40" s="268"/>
      <c r="K40" s="269" t="s">
        <v>299</v>
      </c>
      <c r="L40" s="269"/>
      <c r="M40" s="269"/>
      <c r="N40" s="269"/>
      <c r="O40" s="269"/>
      <c r="P40" s="269"/>
      <c r="Q40" s="269"/>
      <c r="R40" s="269"/>
      <c r="S40" s="269"/>
      <c r="T40" s="269"/>
      <c r="U40" s="270" t="s">
        <v>300</v>
      </c>
      <c r="V40" s="270"/>
      <c r="W40" s="270"/>
      <c r="X40" s="270"/>
      <c r="Y40" s="270"/>
      <c r="Z40" s="270"/>
      <c r="AA40" s="270"/>
      <c r="AB40" s="270"/>
      <c r="AC40" s="270"/>
      <c r="AD40" s="271">
        <v>2673649</v>
      </c>
      <c r="AE40" s="271"/>
      <c r="AF40" s="271"/>
      <c r="AG40" s="271"/>
      <c r="AH40" s="272" t="s">
        <v>301</v>
      </c>
      <c r="AI40" s="272"/>
      <c r="AJ40" s="272"/>
      <c r="AK40" s="272"/>
      <c r="AL40" s="272"/>
      <c r="AM40" s="272"/>
      <c r="AN40" s="273"/>
      <c r="AO40" s="273"/>
      <c r="AP40" s="273"/>
      <c r="AQ40" s="273"/>
      <c r="AR40" s="273"/>
      <c r="AS40" s="273"/>
      <c r="AT40" s="267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</row>
    <row r="41" spans="2:65" ht="11.25" customHeight="1" x14ac:dyDescent="0.25">
      <c r="B41" s="268"/>
      <c r="C41" s="268"/>
      <c r="D41" s="268"/>
      <c r="E41" s="268"/>
      <c r="F41" s="268"/>
      <c r="G41" s="268"/>
      <c r="H41" s="268"/>
      <c r="I41" s="268"/>
      <c r="J41" s="268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70"/>
      <c r="V41" s="270"/>
      <c r="W41" s="270"/>
      <c r="X41" s="270"/>
      <c r="Y41" s="270"/>
      <c r="Z41" s="270"/>
      <c r="AA41" s="270"/>
      <c r="AB41" s="270"/>
      <c r="AC41" s="270"/>
      <c r="AD41" s="271"/>
      <c r="AE41" s="271"/>
      <c r="AF41" s="271"/>
      <c r="AG41" s="271"/>
      <c r="AH41" s="272"/>
      <c r="AI41" s="272"/>
      <c r="AJ41" s="272"/>
      <c r="AK41" s="272"/>
      <c r="AL41" s="272"/>
      <c r="AM41" s="272"/>
      <c r="AN41" s="273"/>
      <c r="AO41" s="273"/>
      <c r="AP41" s="273"/>
      <c r="AQ41" s="273"/>
      <c r="AR41" s="273"/>
      <c r="AS41" s="273"/>
      <c r="AT41" s="267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</row>
  </sheetData>
  <mergeCells count="125">
    <mergeCell ref="AH6:AJ6"/>
    <mergeCell ref="AK6:AL6"/>
    <mergeCell ref="B1:BM1"/>
    <mergeCell ref="B2:BM2"/>
    <mergeCell ref="B3:I5"/>
    <mergeCell ref="J3:V5"/>
    <mergeCell ref="W3:AB3"/>
    <mergeCell ref="AC3:AJ3"/>
    <mergeCell ref="AK3:BM3"/>
    <mergeCell ref="W4:X5"/>
    <mergeCell ref="Y4:Z5"/>
    <mergeCell ref="AA4:AB5"/>
    <mergeCell ref="AC4:AD5"/>
    <mergeCell ref="AE4:AG5"/>
    <mergeCell ref="AH4:AJ5"/>
    <mergeCell ref="AK4:AL5"/>
    <mergeCell ref="AM4:AN5"/>
    <mergeCell ref="AO4:AQ5"/>
    <mergeCell ref="AR4:BD5"/>
    <mergeCell ref="BE4:BM5"/>
    <mergeCell ref="AM6:AN6"/>
    <mergeCell ref="AO6:AQ6"/>
    <mergeCell ref="AR6:BD6"/>
    <mergeCell ref="BE6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6:I6"/>
    <mergeCell ref="J6:V6"/>
    <mergeCell ref="W6:X6"/>
    <mergeCell ref="Y6:Z6"/>
    <mergeCell ref="AA6:AB6"/>
    <mergeCell ref="AC6:AD6"/>
    <mergeCell ref="AE6:AG6"/>
    <mergeCell ref="B8:BM8"/>
    <mergeCell ref="A9:AX9"/>
    <mergeCell ref="BA9:BM9"/>
    <mergeCell ref="B10:AZ10"/>
    <mergeCell ref="BA10:BM10"/>
    <mergeCell ref="B12:BM12"/>
    <mergeCell ref="B13:BM13"/>
    <mergeCell ref="B14:L14"/>
    <mergeCell ref="M14:S14"/>
    <mergeCell ref="T14:BM14"/>
    <mergeCell ref="B15:L15"/>
    <mergeCell ref="M15:S15"/>
    <mergeCell ref="T15:BM15"/>
    <mergeCell ref="B16:L16"/>
    <mergeCell ref="M16:S16"/>
    <mergeCell ref="T16:BM16"/>
    <mergeCell ref="B17:L17"/>
    <mergeCell ref="M17:S17"/>
    <mergeCell ref="T17:BM17"/>
    <mergeCell ref="A18:L18"/>
    <mergeCell ref="M18:S18"/>
    <mergeCell ref="T18:BM18"/>
    <mergeCell ref="B19:L19"/>
    <mergeCell ref="M19:S19"/>
    <mergeCell ref="T19:BM19"/>
    <mergeCell ref="B20:BM20"/>
    <mergeCell ref="B21:BM21"/>
    <mergeCell ref="B22:BM22"/>
    <mergeCell ref="B23:P23"/>
    <mergeCell ref="Q23:BD23"/>
    <mergeCell ref="BE23:BI23"/>
    <mergeCell ref="BJ23:BM23"/>
    <mergeCell ref="B24:P24"/>
    <mergeCell ref="Q24:BD24"/>
    <mergeCell ref="BE24:BI24"/>
    <mergeCell ref="BJ24:BM24"/>
    <mergeCell ref="B25:P25"/>
    <mergeCell ref="Q25:BD25"/>
    <mergeCell ref="BE25:BI25"/>
    <mergeCell ref="BJ25:BM25"/>
    <mergeCell ref="B26:P26"/>
    <mergeCell ref="Q26:BD26"/>
    <mergeCell ref="BE26:BI26"/>
    <mergeCell ref="BJ26:BM26"/>
    <mergeCell ref="B27:BM27"/>
    <mergeCell ref="B28:O28"/>
    <mergeCell ref="P28:Q28"/>
    <mergeCell ref="R28:AD28"/>
    <mergeCell ref="AE28:AF28"/>
    <mergeCell ref="AG28:AR28"/>
    <mergeCell ref="AS28:AT28"/>
    <mergeCell ref="AU28:AZ28"/>
    <mergeCell ref="BB28:BM28"/>
    <mergeCell ref="B29:BM29"/>
    <mergeCell ref="B30:BM30"/>
    <mergeCell ref="B31:BM31"/>
    <mergeCell ref="B32:BM32"/>
    <mergeCell ref="B33:BM33"/>
    <mergeCell ref="B34:BM34"/>
    <mergeCell ref="B35:BM35"/>
    <mergeCell ref="B36:V36"/>
    <mergeCell ref="W36:AF36"/>
    <mergeCell ref="AG36:AH36"/>
    <mergeCell ref="AI36:AV36"/>
    <mergeCell ref="AW36:BM36"/>
    <mergeCell ref="B37:V37"/>
    <mergeCell ref="W37:AF37"/>
    <mergeCell ref="AG37:AH37"/>
    <mergeCell ref="AI37:AV37"/>
    <mergeCell ref="AW37:BM37"/>
    <mergeCell ref="B38:BM38"/>
    <mergeCell ref="B39:AS39"/>
    <mergeCell ref="AT39:AT41"/>
    <mergeCell ref="AU39:BM39"/>
    <mergeCell ref="B40:J41"/>
    <mergeCell ref="K40:T41"/>
    <mergeCell ref="U40:AC41"/>
    <mergeCell ref="AD40:AG41"/>
    <mergeCell ref="AH40:AM41"/>
    <mergeCell ref="AN40:AS41"/>
    <mergeCell ref="AU40:BM41"/>
  </mergeCells>
  <pageMargins left="0.25" right="0.25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7"/>
  <sheetViews>
    <sheetView tabSelected="1" zoomScaleNormal="100" workbookViewId="0">
      <selection activeCell="X6" sqref="X6:AC6"/>
    </sheetView>
  </sheetViews>
  <sheetFormatPr baseColWidth="10" defaultColWidth="9.140625" defaultRowHeight="15" x14ac:dyDescent="0.25"/>
  <cols>
    <col min="1" max="1" width="5" customWidth="1"/>
    <col min="2" max="2" width="5.28515625" customWidth="1"/>
    <col min="3" max="3" width="4.28515625" customWidth="1"/>
    <col min="4" max="4" width="4.42578125" customWidth="1"/>
    <col min="5" max="5" width="3.7109375" customWidth="1"/>
    <col min="6" max="6" width="3.85546875" customWidth="1"/>
    <col min="7" max="7" width="4.5703125" customWidth="1"/>
    <col min="8" max="8" width="4.140625" customWidth="1"/>
    <col min="9" max="9" width="4.42578125" customWidth="1"/>
    <col min="10" max="10" width="4.140625" customWidth="1"/>
    <col min="11" max="11" width="4.85546875" customWidth="1"/>
    <col min="12" max="12" width="5" customWidth="1"/>
    <col min="13" max="13" width="5.42578125" customWidth="1"/>
    <col min="14" max="14" width="4.5703125" customWidth="1"/>
    <col min="15" max="15" width="4.28515625" customWidth="1"/>
    <col min="16" max="16" width="3.42578125" customWidth="1"/>
    <col min="17" max="18" width="4.140625" customWidth="1"/>
    <col min="19" max="19" width="4.5703125" customWidth="1"/>
    <col min="20" max="20" width="4" customWidth="1"/>
    <col min="21" max="22" width="3.42578125" customWidth="1"/>
    <col min="23" max="23" width="3.85546875" customWidth="1"/>
    <col min="24" max="24" width="4.5703125" customWidth="1"/>
    <col min="25" max="25" width="2.85546875" customWidth="1"/>
    <col min="26" max="26" width="4" customWidth="1"/>
    <col min="27" max="27" width="3.28515625" customWidth="1"/>
    <col min="28" max="28" width="10.140625" customWidth="1"/>
    <col min="29" max="29" width="3.28515625" customWidth="1"/>
    <col min="30" max="30" width="3.85546875" customWidth="1"/>
    <col min="31" max="31" width="3" customWidth="1"/>
    <col min="32" max="33" width="5.42578125" customWidth="1"/>
    <col min="34" max="34" width="8.42578125" customWidth="1"/>
    <col min="35" max="35" width="3.5703125" customWidth="1"/>
    <col min="36" max="36" width="4" customWidth="1"/>
    <col min="37" max="37" width="4.85546875" customWidth="1"/>
    <col min="38" max="38" width="7" customWidth="1"/>
    <col min="39" max="256" width="11.42578125" customWidth="1"/>
  </cols>
  <sheetData>
    <row r="1" spans="1:38" ht="81" customHeight="1" x14ac:dyDescent="0.25">
      <c r="A1" s="378"/>
      <c r="B1" s="378"/>
      <c r="C1" s="378"/>
      <c r="D1" s="378"/>
      <c r="E1" s="378"/>
      <c r="F1" s="378"/>
      <c r="G1" s="378"/>
      <c r="H1" s="378"/>
      <c r="I1" s="379" t="s">
        <v>302</v>
      </c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</row>
    <row r="2" spans="1:38" ht="22.5" customHeight="1" x14ac:dyDescent="0.25">
      <c r="A2" s="380" t="str">
        <f>IF('-EVALUACION OCUPACIONAL 1-3'!B3="","",'-EVALUACION OCUPACIONAL 1-3'!B3)</f>
        <v xml:space="preserve">A. DATOS DEL ESTABLECIMIENTO - DATOS DEL USUARIO                                                                                               TELEF: 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</row>
    <row r="3" spans="1:38" ht="31.5" customHeight="1" x14ac:dyDescent="0.25">
      <c r="A3" s="381" t="s">
        <v>303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2" t="s">
        <v>3</v>
      </c>
      <c r="M3" s="382"/>
      <c r="N3" s="382"/>
      <c r="O3" s="382"/>
      <c r="P3" s="382"/>
      <c r="Q3" s="382"/>
      <c r="R3" s="382" t="s">
        <v>4</v>
      </c>
      <c r="S3" s="382"/>
      <c r="T3" s="382"/>
      <c r="U3" s="382"/>
      <c r="V3" s="382" t="s">
        <v>304</v>
      </c>
      <c r="W3" s="382"/>
      <c r="X3" s="382"/>
      <c r="Y3" s="382"/>
      <c r="Z3" s="382"/>
      <c r="AA3" s="382"/>
      <c r="AB3" s="382"/>
      <c r="AC3" s="382" t="s">
        <v>305</v>
      </c>
      <c r="AD3" s="382"/>
      <c r="AE3" s="382"/>
      <c r="AF3" s="382"/>
      <c r="AG3" s="382"/>
      <c r="AH3" s="382"/>
      <c r="AI3" s="383" t="s">
        <v>306</v>
      </c>
      <c r="AJ3" s="383"/>
      <c r="AK3" s="383"/>
      <c r="AL3" s="383"/>
    </row>
    <row r="4" spans="1:38" ht="36" customHeight="1" x14ac:dyDescent="0.25">
      <c r="A4" s="373" t="str">
        <f>IF('-EVALUACION OCUPACIONAL 1-3'!B5="","",'-EVALUACION OCUPACIONAL 1-3'!B5)</f>
        <v/>
      </c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4" t="str">
        <f>IF('-EVALUACION OCUPACIONAL 1-3'!Q5="","",'-EVALUACION OCUPACIONAL 1-3'!Q5)</f>
        <v/>
      </c>
      <c r="M4" s="374"/>
      <c r="N4" s="374"/>
      <c r="O4" s="374"/>
      <c r="P4" s="374"/>
      <c r="Q4" s="374"/>
      <c r="R4" s="375" t="str">
        <f>IF('-EVALUACION OCUPACIONAL 1-3'!Z5="","",'-EVALUACION OCUPACIONAL 1-3'!Z5)</f>
        <v/>
      </c>
      <c r="S4" s="375"/>
      <c r="T4" s="375"/>
      <c r="U4" s="375"/>
      <c r="V4" s="376" t="str">
        <f>IF('-EVALUACION OCUPACIONAL 1-3'!AC5="","",'-EVALUACION OCUPACIONAL 1-3'!AC5)</f>
        <v xml:space="preserve">DEPARTAMENTO DE SALUD OCUPACIONAL </v>
      </c>
      <c r="W4" s="376"/>
      <c r="X4" s="376"/>
      <c r="Y4" s="376"/>
      <c r="Z4" s="376"/>
      <c r="AA4" s="376"/>
      <c r="AB4" s="376"/>
      <c r="AC4" s="377" t="str">
        <f>IF('-EVALUACION OCUPACIONAL 1-3'!AP5="","",'-EVALUACION OCUPACIONAL 1-3'!AP5&amp;"")</f>
        <v/>
      </c>
      <c r="AD4" s="377"/>
      <c r="AE4" s="377"/>
      <c r="AF4" s="377"/>
      <c r="AG4" s="377"/>
      <c r="AH4" s="377"/>
      <c r="AI4" s="371">
        <f>IF('-EVALUACION OCUPACIONAL 1-3'!BB5="","",'-EVALUACION OCUPACIONAL 1-3'!BB5)</f>
        <v>1</v>
      </c>
      <c r="AJ4" s="371"/>
      <c r="AK4" s="371"/>
      <c r="AL4" s="371"/>
    </row>
    <row r="5" spans="1:38" ht="15" customHeight="1" x14ac:dyDescent="0.25">
      <c r="A5" s="350" t="s">
        <v>307</v>
      </c>
      <c r="B5" s="350"/>
      <c r="C5" s="350"/>
      <c r="D5" s="350"/>
      <c r="E5" s="350"/>
      <c r="F5" s="350"/>
      <c r="G5" s="350"/>
      <c r="H5" s="350"/>
      <c r="I5" s="350"/>
      <c r="J5" s="351" t="s">
        <v>308</v>
      </c>
      <c r="K5" s="351"/>
      <c r="L5" s="351"/>
      <c r="M5" s="351"/>
      <c r="N5" s="351"/>
      <c r="O5" s="351"/>
      <c r="P5" s="351"/>
      <c r="Q5" s="351" t="s">
        <v>309</v>
      </c>
      <c r="R5" s="351"/>
      <c r="S5" s="351"/>
      <c r="T5" s="351"/>
      <c r="U5" s="351"/>
      <c r="V5" s="351"/>
      <c r="W5" s="351"/>
      <c r="X5" s="351" t="s">
        <v>310</v>
      </c>
      <c r="Y5" s="351"/>
      <c r="Z5" s="351"/>
      <c r="AA5" s="351"/>
      <c r="AB5" s="351"/>
      <c r="AC5" s="351"/>
      <c r="AD5" s="351" t="s">
        <v>14</v>
      </c>
      <c r="AE5" s="351"/>
      <c r="AF5" s="351"/>
      <c r="AG5" s="372" t="s">
        <v>311</v>
      </c>
      <c r="AH5" s="372"/>
      <c r="AI5" s="372"/>
      <c r="AJ5" s="372"/>
      <c r="AK5" s="372"/>
      <c r="AL5" s="372"/>
    </row>
    <row r="6" spans="1:38" ht="31.5" customHeight="1" x14ac:dyDescent="0.25">
      <c r="A6" s="368" t="str">
        <f>IF('-EVALUACION OCUPACIONAL 1-3'!B8="","",'-EVALUACION OCUPACIONAL 1-3'!B8)</f>
        <v/>
      </c>
      <c r="B6" s="368"/>
      <c r="C6" s="368"/>
      <c r="D6" s="368"/>
      <c r="E6" s="368"/>
      <c r="F6" s="368"/>
      <c r="G6" s="368"/>
      <c r="H6" s="368"/>
      <c r="I6" s="368"/>
      <c r="J6" s="369" t="str">
        <f>IF('-EVALUACION OCUPACIONAL 1-3'!S8="","",'-EVALUACION OCUPACIONAL 1-3'!S8)</f>
        <v/>
      </c>
      <c r="K6" s="369"/>
      <c r="L6" s="369"/>
      <c r="M6" s="369"/>
      <c r="N6" s="369"/>
      <c r="O6" s="369"/>
      <c r="P6" s="369"/>
      <c r="Q6" s="369" t="str">
        <f>IF('-EVALUACION OCUPACIONAL 1-3'!AH8="","",'-EVALUACION OCUPACIONAL 1-3'!AH8)</f>
        <v/>
      </c>
      <c r="R6" s="369"/>
      <c r="S6" s="369"/>
      <c r="T6" s="369"/>
      <c r="U6" s="369"/>
      <c r="V6" s="369"/>
      <c r="W6" s="369"/>
      <c r="X6" s="369" t="str">
        <f>IF('-EVALUACION OCUPACIONAL 1-3'!AR8="","",'-EVALUACION OCUPACIONAL 1-3'!AR8)</f>
        <v/>
      </c>
      <c r="Y6" s="369"/>
      <c r="Z6" s="369"/>
      <c r="AA6" s="369"/>
      <c r="AB6" s="369"/>
      <c r="AC6" s="369"/>
      <c r="AD6" s="370" t="str">
        <f>IF(AND(UPPER(TRIM('-EVALUACION OCUPACIONAL 1-3'!U13))="X",UPPER(TRIM('-EVALUACION OCUPACIONAL 1-3'!X13))="X"),"REVISAR SEXO",IF(UPPER(TRIM('-EVALUACION OCUPACIONAL 1-3'!U13))="X","masculino",IF(UPPER(TRIM('-EVALUACION OCUPACIONAL 1-3'!X13))="X","femenino","")))</f>
        <v/>
      </c>
      <c r="AE6" s="370"/>
      <c r="AF6" s="370"/>
      <c r="AG6" s="363" t="str">
        <f>IF('-EVALUACION OCUPACIONAL 1-3'!J16="","",'-EVALUACION OCUPACIONAL 1-3'!J16)</f>
        <v xml:space="preserve">AUXILIAR DE LIMPIEZA (9112) / </v>
      </c>
      <c r="AH6" s="363"/>
      <c r="AI6" s="363"/>
      <c r="AJ6" s="363"/>
      <c r="AK6" s="363"/>
      <c r="AL6" s="363"/>
    </row>
    <row r="7" spans="1:38" ht="15" customHeight="1" x14ac:dyDescent="0.25">
      <c r="A7" s="358" t="s">
        <v>312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358"/>
      <c r="AA7" s="358"/>
      <c r="AB7" s="358"/>
      <c r="AC7" s="358"/>
      <c r="AD7" s="358"/>
      <c r="AE7" s="358"/>
      <c r="AF7" s="358"/>
      <c r="AG7" s="358"/>
      <c r="AH7" s="358"/>
      <c r="AI7" s="358"/>
      <c r="AJ7" s="358"/>
      <c r="AK7" s="358"/>
      <c r="AL7" s="358"/>
    </row>
    <row r="8" spans="1:38" ht="15" customHeight="1" x14ac:dyDescent="0.25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9"/>
    </row>
    <row r="9" spans="1:38" ht="15" customHeight="1" x14ac:dyDescent="0.25">
      <c r="A9" s="70"/>
      <c r="B9" s="364" t="s">
        <v>313</v>
      </c>
      <c r="C9" s="364"/>
      <c r="D9" s="364"/>
      <c r="E9" s="364"/>
      <c r="F9" s="364"/>
      <c r="G9" s="364"/>
      <c r="H9" s="364"/>
      <c r="I9" s="364"/>
      <c r="J9" s="364"/>
      <c r="K9" s="365" t="str">
        <f>IF(ISNUMBER('-EVALUACION OCUPACIONAL 1-3'!AH16),YEAR('-EVALUACION OCUPACIONAL 1-3'!AH16),"")</f>
        <v/>
      </c>
      <c r="L9" s="365"/>
      <c r="M9" s="71" t="str">
        <f>IF(ISNUMBER('-EVALUACION OCUPACIONAL 1-3'!AH16),LEFT(TEXT('-EVALUACION OCUPACIONAL 1-3'!AH16,"mm"),1),"")</f>
        <v/>
      </c>
      <c r="N9" s="71" t="str">
        <f>IF(ISNUMBER('-EVALUACION OCUPACIONAL 1-3'!AH16),RIGHT(TEXT('-EVALUACION OCUPACIONAL 1-3'!AH16,"mm"),1),"")</f>
        <v/>
      </c>
      <c r="O9" s="72" t="str">
        <f>IF(ISNUMBER('-EVALUACION OCUPACIONAL 1-3'!AH16),LEFT(TEXT('-EVALUACION OCUPACIONAL 1-3'!AH16,"dd"),1),"")</f>
        <v/>
      </c>
      <c r="P9" s="72" t="str">
        <f>IF(ISNUMBER('-EVALUACION OCUPACIONAL 1-3'!AH16),RIGHT(TEXT('-EVALUACION OCUPACIONAL 1-3'!AH16,"dd"),1),"")</f>
        <v/>
      </c>
      <c r="Q9" s="73"/>
      <c r="R9" s="73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5"/>
    </row>
    <row r="10" spans="1:38" ht="15" customHeight="1" x14ac:dyDescent="0.25">
      <c r="A10" s="70"/>
      <c r="B10" s="76"/>
      <c r="C10" s="76"/>
      <c r="D10" s="77"/>
      <c r="E10" s="76"/>
      <c r="F10" s="76"/>
      <c r="G10" s="78"/>
      <c r="H10" s="78"/>
      <c r="I10" s="77"/>
      <c r="J10" s="79"/>
      <c r="K10" s="366" t="s">
        <v>314</v>
      </c>
      <c r="L10" s="366"/>
      <c r="M10" s="366" t="s">
        <v>315</v>
      </c>
      <c r="N10" s="366"/>
      <c r="O10" s="367" t="s">
        <v>316</v>
      </c>
      <c r="P10" s="367"/>
      <c r="Q10" s="73"/>
      <c r="R10" s="73"/>
      <c r="S10" s="77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1"/>
    </row>
    <row r="11" spans="1:38" ht="15" customHeight="1" x14ac:dyDescent="0.25">
      <c r="A11" s="82"/>
      <c r="B11" s="359" t="s">
        <v>317</v>
      </c>
      <c r="C11" s="359"/>
      <c r="D11" s="359"/>
      <c r="E11" s="359"/>
      <c r="F11" s="359"/>
      <c r="G11" s="359"/>
      <c r="H11" s="359"/>
      <c r="I11" s="83" t="s">
        <v>318</v>
      </c>
      <c r="J11" s="83"/>
      <c r="K11" s="83"/>
      <c r="L11" s="360" t="str">
        <f>IF('-EVALUACION OCUPACIONAL 1-3'!G19="","",'-EVALUACION OCUPACIONAL 1-3'!G19)</f>
        <v/>
      </c>
      <c r="M11" s="360"/>
      <c r="N11" s="83"/>
      <c r="O11" s="83"/>
      <c r="P11" s="342" t="s">
        <v>38</v>
      </c>
      <c r="Q11" s="342"/>
      <c r="R11" s="342"/>
      <c r="S11" s="342"/>
      <c r="T11" s="342"/>
      <c r="U11" s="361" t="str">
        <f>IF('-EVALUACION OCUPACIONAL 1-3'!Z19="","",'-EVALUACION OCUPACIONAL 1-3'!Z19)</f>
        <v/>
      </c>
      <c r="V11" s="361"/>
      <c r="W11" s="362" t="s">
        <v>39</v>
      </c>
      <c r="X11" s="362"/>
      <c r="Y11" s="362"/>
      <c r="Z11" s="362"/>
      <c r="AA11" s="362"/>
      <c r="AB11" s="362"/>
      <c r="AC11" s="355" t="str">
        <f>IF('-EVALUACION OCUPACIONAL 1-3'!AI19="","",'-EVALUACION OCUPACIONAL 1-3'!AI19)</f>
        <v/>
      </c>
      <c r="AD11" s="355"/>
      <c r="AE11" s="83"/>
      <c r="AF11" s="356" t="s">
        <v>319</v>
      </c>
      <c r="AG11" s="356"/>
      <c r="AH11" s="356"/>
      <c r="AI11" s="355" t="str">
        <f>IF('-EVALUACION OCUPACIONAL 1-3'!BA19="","",'-EVALUACION OCUPACIONAL 1-3'!BA19)</f>
        <v>X</v>
      </c>
      <c r="AJ11" s="355"/>
      <c r="AK11" s="357"/>
      <c r="AL11" s="357"/>
    </row>
    <row r="12" spans="1:38" ht="15" customHeight="1" x14ac:dyDescent="0.25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7"/>
      <c r="AB12" s="86"/>
      <c r="AC12" s="86"/>
      <c r="AD12" s="86"/>
      <c r="AE12" s="86"/>
      <c r="AF12" s="86"/>
      <c r="AG12" s="86"/>
      <c r="AH12" s="87"/>
      <c r="AI12" s="86"/>
      <c r="AJ12" s="86"/>
      <c r="AK12" s="85"/>
      <c r="AL12" s="88"/>
    </row>
    <row r="13" spans="1:38" ht="15" customHeight="1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</row>
    <row r="14" spans="1:38" ht="15" customHeight="1" x14ac:dyDescent="0.25">
      <c r="A14" s="358" t="s">
        <v>320</v>
      </c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</row>
    <row r="15" spans="1:38" ht="15" customHeight="1" x14ac:dyDescent="0.25">
      <c r="A15" s="349" t="s">
        <v>321</v>
      </c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</row>
    <row r="16" spans="1:38" ht="15" customHeight="1" x14ac:dyDescent="0.25">
      <c r="A16" s="350" t="s">
        <v>322</v>
      </c>
      <c r="B16" s="350"/>
      <c r="C16" s="350"/>
      <c r="D16" s="350"/>
      <c r="E16" s="350"/>
      <c r="F16" s="350"/>
      <c r="G16" s="350"/>
      <c r="H16" s="350"/>
      <c r="I16" s="89" t="str">
        <f>IF('EVALUACION OCUPACIONAL 3-3'!P28="","",'EVALUACION OCUPACIONAL 3-3'!P28)</f>
        <v/>
      </c>
      <c r="J16" s="351" t="s">
        <v>284</v>
      </c>
      <c r="K16" s="351"/>
      <c r="L16" s="351"/>
      <c r="M16" s="351"/>
      <c r="N16" s="351"/>
      <c r="O16" s="351"/>
      <c r="P16" s="351"/>
      <c r="Q16" s="351"/>
      <c r="R16" s="351"/>
      <c r="S16" s="352" t="str">
        <f>IF('EVALUACION OCUPACIONAL 3-3'!AE28="","",'EVALUACION OCUPACIONAL 3-3'!AE28)</f>
        <v/>
      </c>
      <c r="T16" s="352"/>
      <c r="U16" s="351" t="s">
        <v>323</v>
      </c>
      <c r="V16" s="351"/>
      <c r="W16" s="351"/>
      <c r="X16" s="351"/>
      <c r="Y16" s="351"/>
      <c r="Z16" s="351"/>
      <c r="AA16" s="351"/>
      <c r="AB16" s="351"/>
      <c r="AC16" s="353" t="str">
        <f>IF('EVALUACION OCUPACIONAL 3-3'!AS28="","",'EVALUACION OCUPACIONAL 3-3'!AS28)</f>
        <v/>
      </c>
      <c r="AD16" s="353"/>
      <c r="AE16" s="351" t="s">
        <v>286</v>
      </c>
      <c r="AF16" s="351"/>
      <c r="AG16" s="351"/>
      <c r="AH16" s="351"/>
      <c r="AI16" s="351"/>
      <c r="AJ16" s="351"/>
      <c r="AK16" s="354" t="str">
        <f>IF('EVALUACION OCUPACIONAL 3-3'!BB28="","",'EVALUACION OCUPACIONAL 3-3'!BB28)</f>
        <v>X</v>
      </c>
      <c r="AL16" s="354"/>
    </row>
    <row r="17" spans="1:38" ht="43.5" customHeight="1" x14ac:dyDescent="0.25">
      <c r="A17" s="344" t="str">
        <f>"DETALLE DE OBSERVACIONES: "&amp;IF('EVALUACION OCUPACIONAL 3-3'!B29="","",'EVALUACION OCUPACIONAL 3-3'!B29)</f>
        <v>DETALLE DE OBSERVACIONES: Se realiza evaluación médica ocupacional de retiro al colaborador que desempeñó funciones operativas como auxiliar de limpieza, considerando las actividades realizadas y los riesgos laborales a los que estuvo expuesto. Se recomienda mantener las medidas de autocuidado. Los hallazgos clínicos y las recomendaciones específicas se consignan de acuerdo con los resultados de la evaluación de retiro.</v>
      </c>
      <c r="B17" s="344"/>
      <c r="C17" s="344"/>
      <c r="D17" s="344"/>
      <c r="E17" s="344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</row>
    <row r="18" spans="1:38" ht="21" customHeight="1" x14ac:dyDescent="0.25">
      <c r="A18" s="345" t="s">
        <v>324</v>
      </c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</row>
    <row r="19" spans="1:38" ht="15" customHeight="1" x14ac:dyDescent="0.25">
      <c r="A19" s="346" t="s">
        <v>325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</row>
    <row r="20" spans="1:38" ht="15" customHeight="1" x14ac:dyDescent="0.25">
      <c r="A20" s="347" t="s">
        <v>326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  <c r="AI20" s="347"/>
      <c r="AJ20" s="347"/>
      <c r="AK20" s="347"/>
      <c r="AL20" s="347"/>
    </row>
    <row r="21" spans="1:38" ht="174" customHeight="1" x14ac:dyDescent="0.25">
      <c r="A21" s="348" t="str">
        <f>IF('EVALUACION OCUPACIONAL 3-3'!B34="","",'EVALUACION OCUPACIONAL 3-3'!B34)</f>
        <v>RECOMENDACIONES GENERALES:
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RECOMENDACIONES LABORALES:
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</row>
    <row r="22" spans="1:38" ht="15" customHeight="1" x14ac:dyDescent="0.25">
      <c r="A22" s="340" t="s">
        <v>327</v>
      </c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0"/>
      <c r="AK22" s="340"/>
      <c r="AL22" s="340"/>
    </row>
    <row r="23" spans="1:38" ht="15" customHeight="1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  <c r="AK23" s="340"/>
      <c r="AL23" s="340"/>
    </row>
    <row r="24" spans="1:38" ht="15" customHeight="1" x14ac:dyDescent="0.25">
      <c r="A24" s="341" t="s">
        <v>328</v>
      </c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</row>
    <row r="25" spans="1:38" ht="11.25" customHeight="1" x14ac:dyDescent="0.25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  <c r="AK25" s="342"/>
      <c r="AL25" s="342"/>
    </row>
    <row r="26" spans="1:38" ht="15" customHeight="1" x14ac:dyDescent="0.25">
      <c r="A26" s="343" t="s">
        <v>329</v>
      </c>
      <c r="B26" s="343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90"/>
      <c r="AD26" s="343" t="s">
        <v>330</v>
      </c>
      <c r="AE26" s="343"/>
      <c r="AF26" s="343"/>
      <c r="AG26" s="343"/>
      <c r="AH26" s="343"/>
      <c r="AI26" s="343"/>
      <c r="AJ26" s="343"/>
      <c r="AK26" s="343"/>
      <c r="AL26" s="343"/>
    </row>
    <row r="27" spans="1:38" ht="22.5" customHeight="1" x14ac:dyDescent="0.25">
      <c r="A27" s="336" t="s">
        <v>331</v>
      </c>
      <c r="B27" s="336"/>
      <c r="C27" s="336"/>
      <c r="D27" s="336"/>
      <c r="E27" s="337" t="s">
        <v>299</v>
      </c>
      <c r="F27" s="337"/>
      <c r="G27" s="337"/>
      <c r="H27" s="337"/>
      <c r="I27" s="337"/>
      <c r="J27" s="337"/>
      <c r="K27" s="337"/>
      <c r="L27" s="338" t="s">
        <v>300</v>
      </c>
      <c r="M27" s="338"/>
      <c r="N27" s="338"/>
      <c r="O27" s="337">
        <v>2673649</v>
      </c>
      <c r="P27" s="337"/>
      <c r="Q27" s="337"/>
      <c r="R27" s="337"/>
      <c r="S27" s="337"/>
      <c r="T27" s="339" t="s">
        <v>301</v>
      </c>
      <c r="U27" s="339"/>
      <c r="V27" s="339"/>
      <c r="W27" s="334"/>
      <c r="X27" s="334"/>
      <c r="Y27" s="334"/>
      <c r="Z27" s="334"/>
      <c r="AA27" s="334"/>
      <c r="AB27" s="334"/>
      <c r="AC27" s="91"/>
      <c r="AD27" s="335"/>
      <c r="AE27" s="335"/>
      <c r="AF27" s="335"/>
      <c r="AG27" s="335"/>
      <c r="AH27" s="335"/>
      <c r="AI27" s="335"/>
      <c r="AJ27" s="335"/>
      <c r="AK27" s="335"/>
      <c r="AL27" s="335"/>
    </row>
  </sheetData>
  <mergeCells count="68">
    <mergeCell ref="A1:H1"/>
    <mergeCell ref="I1:AL1"/>
    <mergeCell ref="A2:AL2"/>
    <mergeCell ref="A3:K3"/>
    <mergeCell ref="L3:Q3"/>
    <mergeCell ref="R3:U3"/>
    <mergeCell ref="V3:AB3"/>
    <mergeCell ref="AC3:AH3"/>
    <mergeCell ref="AI3:AL3"/>
    <mergeCell ref="AI4:AL4"/>
    <mergeCell ref="A5:I5"/>
    <mergeCell ref="J5:P5"/>
    <mergeCell ref="Q5:W5"/>
    <mergeCell ref="X5:AC5"/>
    <mergeCell ref="AD5:AF5"/>
    <mergeCell ref="AG5:AL5"/>
    <mergeCell ref="A4:K4"/>
    <mergeCell ref="L4:Q4"/>
    <mergeCell ref="R4:U4"/>
    <mergeCell ref="V4:AB4"/>
    <mergeCell ref="AC4:AH4"/>
    <mergeCell ref="AG6:AL6"/>
    <mergeCell ref="A7:AL7"/>
    <mergeCell ref="B9:J9"/>
    <mergeCell ref="K9:L9"/>
    <mergeCell ref="K10:L10"/>
    <mergeCell ref="M10:N10"/>
    <mergeCell ref="O10:P10"/>
    <mergeCell ref="A6:I6"/>
    <mergeCell ref="J6:P6"/>
    <mergeCell ref="Q6:W6"/>
    <mergeCell ref="X6:AC6"/>
    <mergeCell ref="AD6:AF6"/>
    <mergeCell ref="AC11:AD11"/>
    <mergeCell ref="AF11:AH11"/>
    <mergeCell ref="AI11:AJ11"/>
    <mergeCell ref="AK11:AL11"/>
    <mergeCell ref="A14:AL14"/>
    <mergeCell ref="B11:H11"/>
    <mergeCell ref="L11:M11"/>
    <mergeCell ref="P11:T11"/>
    <mergeCell ref="U11:V11"/>
    <mergeCell ref="W11:AB11"/>
    <mergeCell ref="A15:AL15"/>
    <mergeCell ref="A16:H16"/>
    <mergeCell ref="J16:R16"/>
    <mergeCell ref="S16:T16"/>
    <mergeCell ref="U16:AB16"/>
    <mergeCell ref="AC16:AD16"/>
    <mergeCell ref="AE16:AJ16"/>
    <mergeCell ref="AK16:AL16"/>
    <mergeCell ref="A17:AL17"/>
    <mergeCell ref="A18:AL18"/>
    <mergeCell ref="A19:AL19"/>
    <mergeCell ref="A20:AL20"/>
    <mergeCell ref="A21:AL21"/>
    <mergeCell ref="A22:AL23"/>
    <mergeCell ref="A24:AL24"/>
    <mergeCell ref="A25:AL25"/>
    <mergeCell ref="A26:AB26"/>
    <mergeCell ref="AD26:AL26"/>
    <mergeCell ref="W27:AB27"/>
    <mergeCell ref="AD27:AL27"/>
    <mergeCell ref="A27:D27"/>
    <mergeCell ref="E27:K27"/>
    <mergeCell ref="L27:N27"/>
    <mergeCell ref="O27:S27"/>
    <mergeCell ref="T27:V27"/>
  </mergeCells>
  <pageMargins left="0.25" right="0.25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-EVALUACION OCUPACIONAL 1-3</vt:lpstr>
      <vt:lpstr>EVALUACION OCUPACIONAL2-3</vt:lpstr>
      <vt:lpstr>EVALUACION OCUPACIONAL 3-3</vt:lpstr>
      <vt:lpstr>CERTIFICADO</vt:lpstr>
      <vt:lpstr>'-EVALUACION OCUPACIONAL 1-3'!Excel_BuiltIn_Print_Area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ivonne</dc:creator>
  <dc:description/>
  <cp:lastModifiedBy>Alexandra Pérez</cp:lastModifiedBy>
  <cp:revision>3</cp:revision>
  <cp:lastPrinted>2026-09-22T14:21:00Z</cp:lastPrinted>
  <dcterms:created xsi:type="dcterms:W3CDTF">2026-09-09T06:50:42Z</dcterms:created>
  <dcterms:modified xsi:type="dcterms:W3CDTF">2026-10-17T16:19:45Z</dcterms:modified>
  <dc:language>es-MX</dc:language>
</cp:coreProperties>
</file>